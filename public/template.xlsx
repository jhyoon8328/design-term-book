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 Hansoll AI\Design Terminology Organization\Files\"/>
    </mc:Choice>
  </mc:AlternateContent>
  <xr:revisionPtr revIDLastSave="0" documentId="13_ncr:1_{AFBD6FA5-DF7F-4EC2-BC51-82DBB12DB75D}" xr6:coauthVersionLast="47" xr6:coauthVersionMax="47" xr10:uidLastSave="{00000000-0000-0000-0000-000000000000}"/>
  <bookViews>
    <workbookView xWindow="780" yWindow="780" windowWidth="21600" windowHeight="14235" xr2:uid="{DCA174AC-C2FF-452A-B0BB-597EA014E074}"/>
  </bookViews>
  <sheets>
    <sheet name="INDEX LIST" sheetId="6" r:id="rId1"/>
    <sheet name="DATABASE" sheetId="4" state="hidden" r:id="rId2"/>
    <sheet name="LISTS" sheetId="5" state="hidden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5" l="1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<sst xmlns="http://schemas.openxmlformats.org/spreadsheetml/2006/main" count="381" uniqueCount="188">
  <si>
    <t>ALL</t>
  </si>
  <si>
    <t>Category</t>
  </si>
  <si>
    <t>Standard EN</t>
  </si>
  <si>
    <t>Korean Meaning</t>
  </si>
  <si>
    <t>Current Term</t>
  </si>
  <si>
    <t>EDGE</t>
  </si>
  <si>
    <t>가이루빠</t>
  </si>
  <si>
    <t>Cover Stitch
(3-needle 5-thread Cover Stitch)</t>
  </si>
  <si>
    <t>커버 스티치
(봉제 마감용)</t>
  </si>
  <si>
    <t>오드람쁘(오드람프)</t>
  </si>
  <si>
    <t>4-Needle 6-Thread Cover Stitch
(Wide Cover Stitch)</t>
  </si>
  <si>
    <t>4바늘 6실 커버 스티치
(와이드 커버)</t>
  </si>
  <si>
    <t>CLOSURE</t>
  </si>
  <si>
    <t>나나인찌</t>
  </si>
  <si>
    <t>Buttonhole
(Keyhole / Straight Buttonhole)</t>
  </si>
  <si>
    <t>단춧구멍</t>
  </si>
  <si>
    <t>하마고리</t>
  </si>
  <si>
    <t>Scallop Stitch
(Shell / Scallop Edge Finish)</t>
  </si>
  <si>
    <t>스캘럽 스티치
(조개 모양 가장자리)</t>
  </si>
  <si>
    <t>수소(스쿠이)</t>
  </si>
  <si>
    <t>Blind Stitch
(Invisible Hem Stitch)</t>
  </si>
  <si>
    <t>블라인드 스티치
(안 보이는 단 처리)</t>
  </si>
  <si>
    <t>PART</t>
  </si>
  <si>
    <t>에리</t>
  </si>
  <si>
    <t>Collar
(Neckline Collar / Collar Stand)</t>
  </si>
  <si>
    <t>칼라 / 깃</t>
  </si>
  <si>
    <t>JOIN</t>
  </si>
  <si>
    <t>와끼</t>
  </si>
  <si>
    <t>Side Seam
(Lateral Body Seam)</t>
  </si>
  <si>
    <t>옆선 봉제 / 사이드 솔기</t>
  </si>
  <si>
    <t>랍빠</t>
  </si>
  <si>
    <t>Binder
(Bias Binder / Tape Binder / Binder Attachment)</t>
  </si>
  <si>
    <t>바인더 / 바이어스 테이프 처리</t>
  </si>
  <si>
    <t>TRIM</t>
  </si>
  <si>
    <t>삥줄</t>
  </si>
  <si>
    <t>Piping
(Welt Piping / Cord Piping)</t>
  </si>
  <si>
    <t>파이핑 / 코드 장식줄</t>
  </si>
  <si>
    <t>단추달기 / 단춧구멍 / 바텍</t>
  </si>
  <si>
    <t>Button Sewing / Buttonhole / Bartack</t>
  </si>
  <si>
    <t>단추 부착 / 단춧구멍 가공 / 보강 박음</t>
  </si>
  <si>
    <t>STITCH</t>
  </si>
  <si>
    <t>본봉</t>
  </si>
  <si>
    <t>Lockstitch</t>
  </si>
  <si>
    <t>윗실과 밑실이 맞물리는 기본 봉제</t>
  </si>
  <si>
    <t>외줄 삼봉</t>
  </si>
  <si>
    <t>Single-Needle Chain Stitch</t>
  </si>
  <si>
    <t>바늘 1개로 형성하는 체인 스티치</t>
  </si>
  <si>
    <t>두줄 삼봉</t>
  </si>
  <si>
    <t>2-Needle Bottom Cover Stitch</t>
  </si>
  <si>
    <t>바늘 2개로 만드는 밑면 커버 스티치</t>
  </si>
  <si>
    <t>세줄삼봉</t>
  </si>
  <si>
    <t>3-Needle Bottom Cover Stitch</t>
  </si>
  <si>
    <t>바늘 3개로 만드는 밑면 커버 스티치</t>
  </si>
  <si>
    <t>지그재그 스티치 / 1단 지그재그</t>
  </si>
  <si>
    <t>Zigzag Stitch
(Single-Step Zigzag)</t>
  </si>
  <si>
    <t>좌우로 교차하는 지그재그 봉제</t>
  </si>
  <si>
    <t>휩 블랭크</t>
  </si>
  <si>
    <t>Whip / Blanket Stitch</t>
  </si>
  <si>
    <t>가장자리를 감싸는 블랭킷 마감 스티치</t>
  </si>
  <si>
    <t>피콧스티치</t>
  </si>
  <si>
    <t>Picot Stitch</t>
  </si>
  <si>
    <t>작은 고리 또는 점 장식의 가장자리 마감</t>
  </si>
  <si>
    <t>스파게티 스트랩</t>
  </si>
  <si>
    <t>Spaghetti Strap / Cord Tube</t>
  </si>
  <si>
    <t>얇은 튜브형 끈 또는 어깨끈</t>
  </si>
  <si>
    <t>합봉</t>
  </si>
  <si>
    <t>Joining Seam
(Basic Seam Joining)</t>
  </si>
  <si>
    <t>합봉 / 솔기 연결
(원단을 서로 이어 봉제)</t>
  </si>
  <si>
    <t>탑스티치</t>
  </si>
  <si>
    <t>Topstitch
(Visible Surface Stitch)</t>
  </si>
  <si>
    <t>탑스티치 / 겉면 박음질
(겉에서 보이는 장식·고정 스티치)</t>
  </si>
  <si>
    <t>엣지스티치</t>
  </si>
  <si>
    <t>Edge Stitch
(Stitch Close to Edge)</t>
  </si>
  <si>
    <t>엣지 스티치 / 가장자리 박음
(단 가까이에 놓는 스티치)</t>
  </si>
  <si>
    <t>2줄다꼬 / 3줄다꼬</t>
  </si>
  <si>
    <t>2-Row / 3-Row Chain Stitch</t>
  </si>
  <si>
    <t>2줄·3줄 다꼬 / 체인 스티치
(2줄 또는 3줄 체인 봉제)</t>
  </si>
  <si>
    <t>갈라삼봉</t>
  </si>
  <si>
    <t>Track Stitch
(Split Cover Stitch)</t>
  </si>
  <si>
    <t>갈라삼봉 / 트랙 스티치
(절개 양쪽에 놓는 커버 스티치)</t>
  </si>
  <si>
    <t>메로우 / 레터스엣지</t>
  </si>
  <si>
    <t>Merrow / Lettuce Edge</t>
  </si>
  <si>
    <t>메로우 / 레터스 에지
(물결 모양 가장자리 마감)</t>
  </si>
  <si>
    <t>로우엣지</t>
  </si>
  <si>
    <t>Raw Edge
(Unfinished Cut Edge)</t>
  </si>
  <si>
    <t>로우 에지 / 미완성 단
(자른 가장자리를 그대로 둔 마감)</t>
  </si>
  <si>
    <t>SHAPE</t>
  </si>
  <si>
    <t>셔링</t>
  </si>
  <si>
    <t>Shirring
(Gathered Stitch Rows)</t>
  </si>
  <si>
    <t>셔링
(여러 줄 스티치로 잡는 잔주름)</t>
  </si>
  <si>
    <t>통통 D.C</t>
  </si>
  <si>
    <t>Bulky Drawcord
(Thick / Padded Drawcord)</t>
  </si>
  <si>
    <t>통통한 드로코드
(후드·허리밴드·넥라인 조임용 끈)</t>
  </si>
  <si>
    <t>씬칭</t>
  </si>
  <si>
    <t>Cinching
(Drawn-In Gathered Detail)</t>
  </si>
  <si>
    <t>씬칭 / 조임 디테일
(끈·밴드로 안쪽으로 조여 잡는 처리)</t>
  </si>
  <si>
    <t>모빌롱</t>
  </si>
  <si>
    <t>Mobilon Tape
(Clear Elastic Stabilizer)</t>
  </si>
  <si>
    <t>모빌론 테이프 / 투명 탄성 테이프
(늘어짐 방지용 보강 부자재)</t>
  </si>
  <si>
    <t>링슬</t>
  </si>
  <si>
    <t>Strap Ring &amp; Slider
(Lingerie Strap Adjuster Hardware)</t>
  </si>
  <si>
    <t>스트랩 링 &amp; 슬라이더
(얇은 스트랩의 연결 및 길이 조절용 부자재)</t>
  </si>
  <si>
    <t>마이터</t>
  </si>
  <si>
    <t>Mitered Corner
(Mitered Binding Finish)</t>
  </si>
  <si>
    <t>마이터 / 사선 접어 마감
(바인딩·테이프 끝을 사선으로 접어 깔끔하게 처리하는 디테일)</t>
  </si>
  <si>
    <t>수소(스쿠이)</t>
    <phoneticPr fontId="1" type="noConversion"/>
  </si>
  <si>
    <t>GUIDE</t>
  </si>
  <si>
    <t>ID</t>
  </si>
  <si>
    <t>Notes / Source</t>
  </si>
  <si>
    <t>Card Link</t>
  </si>
  <si>
    <t>Card 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</si>
  <si>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</si>
  <si>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</si>
  <si>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</si>
  <si>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</si>
  <si>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</si>
  <si>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</si>
  <si>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</si>
  <si>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</si>
  <si>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</si>
  <si>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</si>
  <si>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</si>
  <si>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</si>
  <si>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</si>
  <si>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</si>
  <si>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</si>
  <si>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</si>
  <si>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</si>
  <si>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</si>
  <si>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</si>
  <si>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</si>
  <si>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</si>
  <si>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</si>
  <si>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</si>
  <si>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</si>
  <si>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</si>
  <si>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</si>
  <si>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</si>
  <si>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</si>
  <si>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</si>
  <si>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</si>
  <si>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</si>
  <si>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Categories</t>
  </si>
  <si>
    <t>Terms</t>
  </si>
  <si>
    <t>Key</t>
  </si>
  <si>
    <t>ITEM OPTIONS BY CATEGORY</t>
  </si>
  <si>
    <t>ALL ITEMS</t>
  </si>
  <si>
    <t>EDGE|1</t>
  </si>
  <si>
    <t>EDGE|2</t>
  </si>
  <si>
    <t>CLOSURE|1</t>
  </si>
  <si>
    <t>EDGE|3</t>
  </si>
  <si>
    <t>EDGE|4</t>
  </si>
  <si>
    <t>PART|1</t>
  </si>
  <si>
    <t>JOIN|1</t>
  </si>
  <si>
    <t>PART|2</t>
  </si>
  <si>
    <t>TRIM|1</t>
  </si>
  <si>
    <t>CLOSURE|2</t>
  </si>
  <si>
    <t>STITCH|1</t>
  </si>
  <si>
    <t>STITCH|2</t>
  </si>
  <si>
    <t>STITCH|3</t>
  </si>
  <si>
    <t>STITCH|4</t>
  </si>
  <si>
    <t>STITCH|5</t>
  </si>
  <si>
    <t>EDGE|5</t>
  </si>
  <si>
    <t>EDGE|6</t>
  </si>
  <si>
    <t>PART|3</t>
  </si>
  <si>
    <t>JOIN|2</t>
  </si>
  <si>
    <t>STITCH|6</t>
  </si>
  <si>
    <t>STITCH|7</t>
  </si>
  <si>
    <t>STITCH|8</t>
  </si>
  <si>
    <t>STITCH|9</t>
  </si>
  <si>
    <t>EDGE|7</t>
  </si>
  <si>
    <t>EDGE|8</t>
  </si>
  <si>
    <t>SHAPE|1</t>
  </si>
  <si>
    <t>TRIM|2</t>
  </si>
  <si>
    <t>SHAPE|2</t>
  </si>
  <si>
    <t>TRIM|3</t>
  </si>
  <si>
    <t>TRIM|4</t>
  </si>
  <si>
    <t>EDGE|9</t>
  </si>
  <si>
    <r>
      <rPr>
        <b/>
        <sz val="10"/>
        <color rgb="FFFFFFFF"/>
        <rFont val="맑은 고딕"/>
        <family val="3"/>
        <charset val="129"/>
      </rPr>
      <t>C</t>
    </r>
    <r>
      <rPr>
        <b/>
        <sz val="10"/>
        <color rgb="FFFFFFFF"/>
        <rFont val="Microsoft GothicNeo"/>
        <family val="3"/>
        <charset val="129"/>
      </rPr>
      <t>urrent</t>
    </r>
    <r>
      <rPr>
        <b/>
        <sz val="10"/>
        <color rgb="FFFFFFFF"/>
        <rFont val="맑은 고딕"/>
        <family val="3"/>
        <charset val="129"/>
      </rPr>
      <t xml:space="preserve"> V</t>
    </r>
    <r>
      <rPr>
        <b/>
        <sz val="10"/>
        <color rgb="FFFFFFFF"/>
        <rFont val="Microsoft GothicNeo"/>
        <family val="3"/>
        <charset val="129"/>
      </rPr>
      <t>ariants</t>
    </r>
    <phoneticPr fontId="1" type="noConversion"/>
  </si>
  <si>
    <t>Standard EN</t>
    <phoneticPr fontId="1" type="noConversion"/>
  </si>
  <si>
    <r>
      <t>Standard EN</t>
    </r>
    <r>
      <rPr>
        <b/>
        <sz val="10"/>
        <color rgb="FFFFFFFF"/>
        <rFont val="맑은 고딕"/>
        <family val="3"/>
        <charset val="129"/>
      </rPr>
      <t xml:space="preserve"> Short</t>
    </r>
    <phoneticPr fontId="1" type="noConversion"/>
  </si>
  <si>
    <t>Korean Meaning</t>
    <phoneticPr fontId="1" type="noConversion"/>
  </si>
  <si>
    <t>Card Row</t>
    <phoneticPr fontId="1" type="noConversion"/>
  </si>
  <si>
    <t>Note</t>
    <phoneticPr fontId="1" type="noConversion"/>
  </si>
  <si>
    <t>Search Name</t>
    <phoneticPr fontId="1" type="noConversion"/>
  </si>
  <si>
    <t>Use In</t>
    <phoneticPr fontId="1" type="noConversion"/>
  </si>
  <si>
    <t>Use Out</t>
    <phoneticPr fontId="1" type="noConversion"/>
  </si>
  <si>
    <t>Image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</si>
</sst>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0"/>
      <color rgb="FF282521"/>
      <name val="Microsoft GothicNeo"/>
      <family val="3"/>
      <charset val="129"/>
    </font>
    <font>
      <sz val="11"/>
      <color theme="1"/>
      <name val="Microsoft GothicNeo"/>
      <family val="3"/>
      <charset val="129"/>
    </font>
    <font>
      <b/>
      <sz val="10"/>
      <color rgb="FFFFFFFF"/>
      <name val="Microsoft GothicNeo"/>
      <family val="3"/>
      <charset val="129"/>
    </font>
    <font>
      <b/>
      <sz val="10"/>
      <color rgb="FF7D6D5D"/>
      <name val="Microsoft GothicNeo"/>
      <family val="3"/>
      <charset val="129"/>
    </font>
    <font>
      <b/>
      <sz val="10"/>
      <color rgb="FF282521"/>
      <name val="Microsoft GothicNeo"/>
      <family val="3"/>
      <charset val="129"/>
    </font>
    <font>
      <b/>
      <sz val="10"/>
      <color rgb="FFFFFFFF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7F4EF"/>
      </patternFill>
    </fill>
    <fill>
      <patternFill patternType="solid">
        <fgColor rgb="FF282521"/>
      </patternFill>
    </fill>
    <fill>
      <patternFill patternType="solid">
        <fgColor rgb="FFE2DDD4"/>
      </patternFill>
    </fill>
    <fill>
      <patternFill patternType="solid">
        <fgColor rgb="FFD7E0EA"/>
      </patternFill>
    </fill>
    <fill>
      <patternFill patternType="solid">
        <fgColor rgb="FFDDD7E6"/>
      </patternFill>
    </fill>
    <fill>
      <patternFill patternType="solid">
        <fgColor rgb="FFE8D9D1"/>
      </patternFill>
    </fill>
    <fill>
      <patternFill patternType="solid">
        <fgColor rgb="FFDCE3D8"/>
      </patternFill>
    </fill>
    <fill>
      <patternFill patternType="solid">
        <fgColor rgb="FFD6DFDD"/>
      </patternFill>
    </fill>
    <fill>
      <patternFill patternType="solid">
        <fgColor rgb="FFE5DBCA"/>
      </patternFill>
    </fill>
  </fills>
  <borders count="2">
    <border>
      <left/>
      <right/>
      <top/>
      <bottom/>
      <diagonal/>
    </border>
    <border>
      <left style="thin">
        <color rgb="FFD8CEC1"/>
      </left>
      <right style="thin">
        <color rgb="FFD8CEC1"/>
      </right>
      <top style="thin">
        <color rgb="FFD8CEC1"/>
      </top>
      <bottom style="thin">
        <color rgb="FFD8CEC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 wrapText="1"/>
    </xf>
  </cellXfs>
  <cellStyles count="2">
    <cellStyle name="Hyperlink" xfId="1" xr:uid="{4795CEEF-5E17-43DD-A2DF-9DDB7E639C7C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Pop Editorial">
  <a:themeElements>
    <a:clrScheme name="Pop Editorial">
      <a:dk1>
        <a:srgbClr val="241D23"/>
      </a:dk1>
      <a:lt1>
        <a:srgbClr val="FFFFFF"/>
      </a:lt1>
      <a:dk2>
        <a:srgbClr val="1F497D"/>
      </a:dk2>
      <a:lt2>
        <a:srgbClr val="FFF9F6"/>
      </a:lt2>
      <a:accent1>
        <a:srgbClr val="F65363"/>
      </a:accent1>
      <a:accent2>
        <a:srgbClr val="C82F64"/>
      </a:accent2>
      <a:accent3>
        <a:srgbClr val="FFD56A"/>
      </a:accent3>
      <a:accent4>
        <a:srgbClr val="FFE3E8"/>
      </a:accent4>
      <a:accent5>
        <a:srgbClr val="FFF0E7"/>
      </a:accent5>
      <a:accent6>
        <a:srgbClr val="8F7A83"/>
      </a:accent6>
      <a:hlink>
        <a:srgbClr val="C82F64"/>
      </a:hlink>
      <a:folHlink>
        <a:srgbClr val="F65363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op Editorial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E287-6D98-4339-B90C-73BCC1706FAF}">
  <sheetPr codeName="Sheet6"/>
  <dimension ref="A1:L32"/>
  <sheetViews>
    <sheetView tabSelected="1" topLeftCell="E1" workbookViewId="0">
      <pane ySplit="1" topLeftCell="A2" activePane="bottomLeft" state="frozen"/>
      <selection activeCell="C7" sqref="C7:E7"/>
      <selection pane="bottomLeft" activeCell="L2" sqref="L2"/>
    </sheetView>
  </sheetViews>
  <sheetFormatPr defaultRowHeight="16.5" x14ac:dyDescent="0.3"/>
  <cols>
    <col min="1" max="1" width="11.5" customWidth="1"/>
    <col min="2" max="2" width="23.75" bestFit="1" customWidth="1"/>
    <col min="3" max="3" width="14.375" customWidth="1"/>
    <col min="4" max="4" width="38.75" bestFit="1" customWidth="1"/>
    <col min="5" max="5" width="18.625" customWidth="1"/>
    <col min="6" max="6" width="34" customWidth="1"/>
    <col min="7" max="8" width="18" customWidth="1"/>
    <col min="9" max="9" width="11.75" bestFit="1" customWidth="1"/>
    <col min="10" max="10" width="7.375" customWidth="1"/>
    <col min="11" max="12" width="7.875" bestFit="1" customWidth="1"/>
  </cols>
  <sheetData>
    <row r="1" spans="1:12" ht="24" customHeight="1" x14ac:dyDescent="0.3">
      <c r="A1" s="2" t="s">
        <v>1</v>
      </c>
      <c r="B1" s="2" t="s">
        <v>4</v>
      </c>
      <c r="C1" s="2" t="s">
        <v>178</v>
      </c>
      <c r="D1" s="2" t="s">
        <v>179</v>
      </c>
      <c r="E1" s="2" t="s">
        <v>180</v>
      </c>
      <c r="F1" s="2" t="s">
        <v>181</v>
      </c>
      <c r="G1" s="13" t="s">
        <v>183</v>
      </c>
      <c r="H1" s="13" t="s">
        <v>182</v>
      </c>
      <c r="I1" s="13" t="s">
        <v>184</v>
      </c>
      <c r="J1" s="13" t="s">
        <v>185</v>
      </c>
      <c r="K1" s="13" t="s">
        <v>186</v>
      </c>
      <c r="L1" s="13" t="s">
        <v>187</v>
      </c>
    </row>
    <row r="2" spans="1:12" ht="36.75" customHeight="1" x14ac:dyDescent="0.3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33.950000000000003" customHeight="1" x14ac:dyDescent="0.3">
      <c r="A3" s="4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33.950000000000003" customHeight="1" x14ac:dyDescent="0.3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33.950000000000003" customHeigh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33.950000000000003" customHeight="1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33.950000000000003" customHeight="1" x14ac:dyDescent="0.3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3.950000000000003" customHeight="1" x14ac:dyDescent="0.3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33.950000000000003" customHeight="1" x14ac:dyDescent="0.3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33.950000000000003" customHeight="1" x14ac:dyDescent="0.3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33.950000000000003" customHeight="1" x14ac:dyDescent="0.3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33.950000000000003" customHeight="1" x14ac:dyDescent="0.3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33.950000000000003" customHeight="1" x14ac:dyDescent="0.3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33.950000000000003" customHeight="1" x14ac:dyDescent="0.3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33.950000000000003" customHeight="1" x14ac:dyDescent="0.3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33.950000000000003" customHeight="1" x14ac:dyDescent="0.3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33.950000000000003" customHeight="1" x14ac:dyDescent="0.3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33.950000000000003" customHeight="1" x14ac:dyDescent="0.3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33.950000000000003" customHeight="1" x14ac:dyDescent="0.3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33.950000000000003" customHeight="1" x14ac:dyDescent="0.3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33.950000000000003" customHeight="1" x14ac:dyDescent="0.3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33.950000000000003" customHeight="1" x14ac:dyDescent="0.3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33.950000000000003" customHeight="1" x14ac:dyDescent="0.3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33.950000000000003" customHeight="1" x14ac:dyDescent="0.3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33.950000000000003" customHeight="1" x14ac:dyDescent="0.3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33.950000000000003" customHeight="1" x14ac:dyDescent="0.3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33.950000000000003" customHeight="1" x14ac:dyDescent="0.3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33.950000000000003" customHeight="1" x14ac:dyDescent="0.3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33.950000000000003" customHeight="1" x14ac:dyDescent="0.3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33.950000000000003" customHeight="1" x14ac:dyDescent="0.3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33.950000000000003" customHeight="1" x14ac:dyDescent="0.3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33.950000000000003" customHeight="1" x14ac:dyDescent="0.3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5ECB-A406-47E9-B55B-768631043F90}">
  <sheetPr codeName="Sheet4"/>
  <dimension ref="A1:H78"/>
  <sheetViews>
    <sheetView showGridLines="0" topLeftCell="A17" workbookViewId="0">
      <selection activeCell="G32" sqref="G32"/>
    </sheetView>
  </sheetViews>
  <sheetFormatPr defaultRowHeight="15" x14ac:dyDescent="0.25"/>
  <cols>
    <col min="1" max="1" width="8" style="1" customWidth="1"/>
    <col min="2" max="2" width="14" style="1" customWidth="1"/>
    <col min="3" max="3" width="25" style="1" customWidth="1"/>
    <col min="4" max="4" width="35" style="1" customWidth="1"/>
    <col min="5" max="5" width="43" style="1" customWidth="1"/>
    <col min="6" max="6" width="38" style="1" customWidth="1"/>
    <col min="7" max="7" width="14" style="1" customWidth="1"/>
    <col min="8" max="8" width="10" style="1" customWidth="1"/>
    <col min="9" max="16384" width="9" style="1"/>
  </cols>
  <sheetData>
    <row r="1" spans="1:8" ht="30" customHeight="1" x14ac:dyDescent="0.25">
      <c r="A1" s="2" t="s">
        <v>107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108</v>
      </c>
      <c r="G1" s="2" t="s">
        <v>109</v>
      </c>
      <c r="H1" s="2" t="s">
        <v>110</v>
      </c>
    </row>
    <row r="2" spans="1:8" ht="48" customHeight="1" x14ac:dyDescent="0.25">
      <c r="A2" s="3" t="s">
        <v>111</v>
      </c>
      <c r="B2" s="4" t="s">
        <v>5</v>
      </c>
      <c r="C2" s="3" t="s">
        <v>6</v>
      </c>
      <c r="D2" s="3" t="s">
        <v>7</v>
      </c>
      <c r="E2" s="3" t="s">
        <v>8</v>
      </c>
      <c r="F2" s="3"/>
      <c r="G2" s="5" t="str">
        <f>HYPERLINK("#'TERM CARDS'!A5","View card")</f>
        <v>View card</v>
      </c>
      <c r="H2" s="3">
        <v>5</v>
      </c>
    </row>
    <row r="3" spans="1:8" ht="48" customHeight="1" x14ac:dyDescent="0.25">
      <c r="A3" s="3" t="s">
        <v>112</v>
      </c>
      <c r="B3" s="4" t="s">
        <v>5</v>
      </c>
      <c r="C3" s="3" t="s">
        <v>9</v>
      </c>
      <c r="D3" s="3" t="s">
        <v>10</v>
      </c>
      <c r="E3" s="3" t="s">
        <v>11</v>
      </c>
      <c r="F3" s="3"/>
      <c r="G3" s="5" t="str">
        <f>HYPERLINK("#'TERM CARDS'!A27","View card")</f>
        <v>View card</v>
      </c>
      <c r="H3" s="3">
        <v>27</v>
      </c>
    </row>
    <row r="4" spans="1:8" ht="48" customHeight="1" x14ac:dyDescent="0.25">
      <c r="A4" s="3" t="s">
        <v>113</v>
      </c>
      <c r="B4" s="7" t="s">
        <v>12</v>
      </c>
      <c r="C4" s="3" t="s">
        <v>13</v>
      </c>
      <c r="D4" s="3" t="s">
        <v>14</v>
      </c>
      <c r="E4" s="3" t="s">
        <v>15</v>
      </c>
      <c r="F4" s="3"/>
      <c r="G4" s="5" t="str">
        <f>HYPERLINK("#'TERM CARDS'!A71","View card")</f>
        <v>View card</v>
      </c>
      <c r="H4" s="3">
        <v>71</v>
      </c>
    </row>
    <row r="5" spans="1:8" ht="48" customHeight="1" x14ac:dyDescent="0.25">
      <c r="A5" s="3" t="s">
        <v>114</v>
      </c>
      <c r="B5" s="4" t="s">
        <v>5</v>
      </c>
      <c r="C5" s="3" t="s">
        <v>16</v>
      </c>
      <c r="D5" s="3" t="s">
        <v>17</v>
      </c>
      <c r="E5" s="3" t="s">
        <v>18</v>
      </c>
      <c r="F5" s="3"/>
      <c r="G5" s="5" t="str">
        <f>HYPERLINK("#'TERM CARDS'!A93","View card")</f>
        <v>View card</v>
      </c>
      <c r="H5" s="3">
        <v>93</v>
      </c>
    </row>
    <row r="6" spans="1:8" ht="48" customHeight="1" x14ac:dyDescent="0.25">
      <c r="A6" s="3" t="s">
        <v>115</v>
      </c>
      <c r="B6" s="4" t="s">
        <v>5</v>
      </c>
      <c r="C6" s="3" t="s">
        <v>19</v>
      </c>
      <c r="D6" s="3" t="s">
        <v>20</v>
      </c>
      <c r="E6" s="3" t="s">
        <v>21</v>
      </c>
      <c r="F6" s="3"/>
      <c r="G6" s="5" t="str">
        <f>HYPERLINK("#'TERM CARDS'!A115","View card")</f>
        <v>View card</v>
      </c>
      <c r="H6" s="3">
        <v>115</v>
      </c>
    </row>
    <row r="7" spans="1:8" ht="48" customHeight="1" x14ac:dyDescent="0.25">
      <c r="A7" s="3" t="s">
        <v>116</v>
      </c>
      <c r="B7" s="9" t="s">
        <v>22</v>
      </c>
      <c r="C7" s="3" t="s">
        <v>23</v>
      </c>
      <c r="D7" s="3" t="s">
        <v>24</v>
      </c>
      <c r="E7" s="3" t="s">
        <v>25</v>
      </c>
      <c r="F7" s="3"/>
      <c r="G7" s="5" t="str">
        <f>HYPERLINK("#'TERM CARDS'!A181","View card")</f>
        <v>View card</v>
      </c>
      <c r="H7" s="3">
        <v>181</v>
      </c>
    </row>
    <row r="8" spans="1:8" ht="48" customHeight="1" x14ac:dyDescent="0.25">
      <c r="A8" s="3" t="s">
        <v>117</v>
      </c>
      <c r="B8" s="10" t="s">
        <v>26</v>
      </c>
      <c r="C8" s="3" t="s">
        <v>27</v>
      </c>
      <c r="D8" s="3" t="s">
        <v>28</v>
      </c>
      <c r="E8" s="3" t="s">
        <v>29</v>
      </c>
      <c r="F8" s="3"/>
      <c r="G8" s="5" t="str">
        <f>HYPERLINK("#'TERM CARDS'!A203","View card")</f>
        <v>View card</v>
      </c>
      <c r="H8" s="3">
        <v>203</v>
      </c>
    </row>
    <row r="9" spans="1:8" ht="48" customHeight="1" x14ac:dyDescent="0.25">
      <c r="A9" s="3" t="s">
        <v>118</v>
      </c>
      <c r="B9" s="9" t="s">
        <v>22</v>
      </c>
      <c r="C9" s="3" t="s">
        <v>30</v>
      </c>
      <c r="D9" s="3" t="s">
        <v>31</v>
      </c>
      <c r="E9" s="3" t="s">
        <v>32</v>
      </c>
      <c r="F9" s="3"/>
      <c r="G9" s="5" t="str">
        <f>HYPERLINK("#'TERM CARDS'!A247","View card")</f>
        <v>View card</v>
      </c>
      <c r="H9" s="3">
        <v>247</v>
      </c>
    </row>
    <row r="10" spans="1:8" ht="48" customHeight="1" x14ac:dyDescent="0.25">
      <c r="A10" s="3" t="s">
        <v>119</v>
      </c>
      <c r="B10" s="11" t="s">
        <v>33</v>
      </c>
      <c r="C10" s="3" t="s">
        <v>34</v>
      </c>
      <c r="D10" s="3" t="s">
        <v>35</v>
      </c>
      <c r="E10" s="3" t="s">
        <v>36</v>
      </c>
      <c r="F10" s="3"/>
      <c r="G10" s="5" t="str">
        <f>HYPERLINK("#'TERM CARDS'!A269","View card")</f>
        <v>View card</v>
      </c>
      <c r="H10" s="3">
        <v>269</v>
      </c>
    </row>
    <row r="11" spans="1:8" ht="48" customHeight="1" x14ac:dyDescent="0.25">
      <c r="A11" s="3" t="s">
        <v>120</v>
      </c>
      <c r="B11" s="7" t="s">
        <v>12</v>
      </c>
      <c r="C11" s="3" t="s">
        <v>37</v>
      </c>
      <c r="D11" s="3" t="s">
        <v>38</v>
      </c>
      <c r="E11" s="3" t="s">
        <v>39</v>
      </c>
      <c r="F11" s="3"/>
      <c r="G11" s="5" t="str">
        <f>HYPERLINK("#'TERM CARDS'!A291","View card")</f>
        <v>View card</v>
      </c>
      <c r="H11" s="3">
        <v>291</v>
      </c>
    </row>
    <row r="12" spans="1:8" ht="48" customHeight="1" x14ac:dyDescent="0.25">
      <c r="A12" s="3" t="s">
        <v>121</v>
      </c>
      <c r="B12" s="6" t="s">
        <v>40</v>
      </c>
      <c r="C12" s="3" t="s">
        <v>41</v>
      </c>
      <c r="D12" s="3" t="s">
        <v>42</v>
      </c>
      <c r="E12" s="3" t="s">
        <v>43</v>
      </c>
      <c r="F12" s="3"/>
      <c r="G12" s="5" t="str">
        <f>HYPERLINK("#'TERM CARDS'!A313","View card")</f>
        <v>View card</v>
      </c>
      <c r="H12" s="3">
        <v>313</v>
      </c>
    </row>
    <row r="13" spans="1:8" ht="48" customHeight="1" x14ac:dyDescent="0.25">
      <c r="A13" s="3" t="s">
        <v>122</v>
      </c>
      <c r="B13" s="6" t="s">
        <v>40</v>
      </c>
      <c r="C13" s="3" t="s">
        <v>44</v>
      </c>
      <c r="D13" s="3" t="s">
        <v>45</v>
      </c>
      <c r="E13" s="3" t="s">
        <v>46</v>
      </c>
      <c r="F13" s="3"/>
      <c r="G13" s="5" t="str">
        <f>HYPERLINK("#'TERM CARDS'!A335","View card")</f>
        <v>View card</v>
      </c>
      <c r="H13" s="3">
        <v>335</v>
      </c>
    </row>
    <row r="14" spans="1:8" ht="48" customHeight="1" x14ac:dyDescent="0.25">
      <c r="A14" s="3" t="s">
        <v>123</v>
      </c>
      <c r="B14" s="6" t="s">
        <v>40</v>
      </c>
      <c r="C14" s="3" t="s">
        <v>47</v>
      </c>
      <c r="D14" s="3" t="s">
        <v>48</v>
      </c>
      <c r="E14" s="3" t="s">
        <v>49</v>
      </c>
      <c r="F14" s="3"/>
      <c r="G14" s="5" t="str">
        <f>HYPERLINK("#'TERM CARDS'!A357","View card")</f>
        <v>View card</v>
      </c>
      <c r="H14" s="3">
        <v>357</v>
      </c>
    </row>
    <row r="15" spans="1:8" ht="48" customHeight="1" x14ac:dyDescent="0.25">
      <c r="A15" s="3" t="s">
        <v>124</v>
      </c>
      <c r="B15" s="6" t="s">
        <v>40</v>
      </c>
      <c r="C15" s="3" t="s">
        <v>50</v>
      </c>
      <c r="D15" s="3" t="s">
        <v>51</v>
      </c>
      <c r="E15" s="3" t="s">
        <v>52</v>
      </c>
      <c r="F15" s="3"/>
      <c r="G15" s="5" t="str">
        <f>HYPERLINK("#'TERM CARDS'!A379","View card")</f>
        <v>View card</v>
      </c>
      <c r="H15" s="3">
        <v>379</v>
      </c>
    </row>
    <row r="16" spans="1:8" ht="48" customHeight="1" x14ac:dyDescent="0.25">
      <c r="A16" s="3" t="s">
        <v>125</v>
      </c>
      <c r="B16" s="6" t="s">
        <v>40</v>
      </c>
      <c r="C16" s="3" t="s">
        <v>53</v>
      </c>
      <c r="D16" s="3" t="s">
        <v>54</v>
      </c>
      <c r="E16" s="3" t="s">
        <v>55</v>
      </c>
      <c r="F16" s="3"/>
      <c r="G16" s="5" t="str">
        <f>HYPERLINK("#'TERM CARDS'!A467","View card")</f>
        <v>View card</v>
      </c>
      <c r="H16" s="3">
        <v>467</v>
      </c>
    </row>
    <row r="17" spans="1:8" ht="48" customHeight="1" x14ac:dyDescent="0.25">
      <c r="A17" s="3" t="s">
        <v>126</v>
      </c>
      <c r="B17" s="4" t="s">
        <v>5</v>
      </c>
      <c r="C17" s="3" t="s">
        <v>56</v>
      </c>
      <c r="D17" s="3" t="s">
        <v>57</v>
      </c>
      <c r="E17" s="3" t="s">
        <v>58</v>
      </c>
      <c r="F17" s="3"/>
      <c r="G17" s="5" t="str">
        <f>HYPERLINK("#'TERM CARDS'!A511","View card")</f>
        <v>View card</v>
      </c>
      <c r="H17" s="3">
        <v>511</v>
      </c>
    </row>
    <row r="18" spans="1:8" ht="48" customHeight="1" x14ac:dyDescent="0.25">
      <c r="A18" s="3" t="s">
        <v>127</v>
      </c>
      <c r="B18" s="4" t="s">
        <v>5</v>
      </c>
      <c r="C18" s="3" t="s">
        <v>59</v>
      </c>
      <c r="D18" s="3" t="s">
        <v>60</v>
      </c>
      <c r="E18" s="3" t="s">
        <v>61</v>
      </c>
      <c r="F18" s="3"/>
      <c r="G18" s="5" t="str">
        <f>HYPERLINK("#'TERM CARDS'!A599","View card")</f>
        <v>View card</v>
      </c>
      <c r="H18" s="3">
        <v>599</v>
      </c>
    </row>
    <row r="19" spans="1:8" ht="48" customHeight="1" x14ac:dyDescent="0.25">
      <c r="A19" s="3" t="s">
        <v>128</v>
      </c>
      <c r="B19" s="9" t="s">
        <v>22</v>
      </c>
      <c r="C19" s="3" t="s">
        <v>62</v>
      </c>
      <c r="D19" s="3" t="s">
        <v>63</v>
      </c>
      <c r="E19" s="3" t="s">
        <v>64</v>
      </c>
      <c r="F19" s="3"/>
      <c r="G19" s="5" t="str">
        <f>HYPERLINK("#'TERM CARDS'!A621","View card")</f>
        <v>View card</v>
      </c>
      <c r="H19" s="3">
        <v>621</v>
      </c>
    </row>
    <row r="20" spans="1:8" ht="48" customHeight="1" x14ac:dyDescent="0.25">
      <c r="A20" s="3" t="s">
        <v>129</v>
      </c>
      <c r="B20" s="10" t="s">
        <v>26</v>
      </c>
      <c r="C20" s="3" t="s">
        <v>65</v>
      </c>
      <c r="D20" s="3" t="s">
        <v>66</v>
      </c>
      <c r="E20" s="3" t="s">
        <v>67</v>
      </c>
      <c r="F20" s="3"/>
      <c r="G20" s="5" t="str">
        <f>HYPERLINK("#'TERM CARDS'!A643","View card")</f>
        <v>View card</v>
      </c>
      <c r="H20" s="3">
        <v>643</v>
      </c>
    </row>
    <row r="21" spans="1:8" ht="48" customHeight="1" x14ac:dyDescent="0.25">
      <c r="A21" s="3" t="s">
        <v>130</v>
      </c>
      <c r="B21" s="6" t="s">
        <v>40</v>
      </c>
      <c r="C21" s="3" t="s">
        <v>68</v>
      </c>
      <c r="D21" s="3" t="s">
        <v>69</v>
      </c>
      <c r="E21" s="3" t="s">
        <v>70</v>
      </c>
      <c r="F21" s="3"/>
      <c r="G21" s="5" t="str">
        <f>HYPERLINK("#'TERM CARDS'!A687","View card")</f>
        <v>View card</v>
      </c>
      <c r="H21" s="3">
        <v>687</v>
      </c>
    </row>
    <row r="22" spans="1:8" ht="48" customHeight="1" x14ac:dyDescent="0.25">
      <c r="A22" s="3" t="s">
        <v>131</v>
      </c>
      <c r="B22" s="6" t="s">
        <v>40</v>
      </c>
      <c r="C22" s="3" t="s">
        <v>71</v>
      </c>
      <c r="D22" s="3" t="s">
        <v>72</v>
      </c>
      <c r="E22" s="3" t="s">
        <v>73</v>
      </c>
      <c r="F22" s="3"/>
      <c r="G22" s="5" t="str">
        <f>HYPERLINK("#'TERM CARDS'!A709","View card")</f>
        <v>View card</v>
      </c>
      <c r="H22" s="3">
        <v>709</v>
      </c>
    </row>
    <row r="23" spans="1:8" ht="48" customHeight="1" x14ac:dyDescent="0.25">
      <c r="A23" s="3" t="s">
        <v>132</v>
      </c>
      <c r="B23" s="6" t="s">
        <v>40</v>
      </c>
      <c r="C23" s="3" t="s">
        <v>74</v>
      </c>
      <c r="D23" s="3" t="s">
        <v>75</v>
      </c>
      <c r="E23" s="3" t="s">
        <v>76</v>
      </c>
      <c r="F23" s="3"/>
      <c r="G23" s="5" t="str">
        <f>HYPERLINK("#'TERM CARDS'!A731","View card")</f>
        <v>View card</v>
      </c>
      <c r="H23" s="3">
        <v>731</v>
      </c>
    </row>
    <row r="24" spans="1:8" ht="48" customHeight="1" x14ac:dyDescent="0.25">
      <c r="A24" s="3" t="s">
        <v>133</v>
      </c>
      <c r="B24" s="6" t="s">
        <v>40</v>
      </c>
      <c r="C24" s="3" t="s">
        <v>77</v>
      </c>
      <c r="D24" s="3" t="s">
        <v>78</v>
      </c>
      <c r="E24" s="3" t="s">
        <v>79</v>
      </c>
      <c r="F24" s="3"/>
      <c r="G24" s="5" t="str">
        <f>HYPERLINK("#'TERM CARDS'!A753","View card")</f>
        <v>View card</v>
      </c>
      <c r="H24" s="3">
        <v>753</v>
      </c>
    </row>
    <row r="25" spans="1:8" ht="48" customHeight="1" x14ac:dyDescent="0.25">
      <c r="A25" s="3" t="s">
        <v>134</v>
      </c>
      <c r="B25" s="4" t="s">
        <v>5</v>
      </c>
      <c r="C25" s="3" t="s">
        <v>80</v>
      </c>
      <c r="D25" s="3" t="s">
        <v>81</v>
      </c>
      <c r="E25" s="3" t="s">
        <v>82</v>
      </c>
      <c r="F25" s="3"/>
      <c r="G25" s="5" t="str">
        <f>HYPERLINK("#'TERM CARDS'!A775","View card")</f>
        <v>View card</v>
      </c>
      <c r="H25" s="3">
        <v>775</v>
      </c>
    </row>
    <row r="26" spans="1:8" ht="48" customHeight="1" x14ac:dyDescent="0.25">
      <c r="A26" s="3" t="s">
        <v>135</v>
      </c>
      <c r="B26" s="4" t="s">
        <v>5</v>
      </c>
      <c r="C26" s="3" t="s">
        <v>83</v>
      </c>
      <c r="D26" s="3" t="s">
        <v>84</v>
      </c>
      <c r="E26" s="3" t="s">
        <v>85</v>
      </c>
      <c r="F26" s="3"/>
      <c r="G26" s="5" t="str">
        <f>HYPERLINK("#'TERM CARDS'!A797","View card")</f>
        <v>View card</v>
      </c>
      <c r="H26" s="3">
        <v>797</v>
      </c>
    </row>
    <row r="27" spans="1:8" ht="48" customHeight="1" x14ac:dyDescent="0.25">
      <c r="A27" s="3" t="s">
        <v>136</v>
      </c>
      <c r="B27" s="8" t="s">
        <v>86</v>
      </c>
      <c r="C27" s="3" t="s">
        <v>87</v>
      </c>
      <c r="D27" s="3" t="s">
        <v>88</v>
      </c>
      <c r="E27" s="3" t="s">
        <v>89</v>
      </c>
      <c r="F27" s="3"/>
      <c r="G27" s="5" t="str">
        <f>HYPERLINK("#'TERM CARDS'!A819","View card")</f>
        <v>View card</v>
      </c>
      <c r="H27" s="3">
        <v>819</v>
      </c>
    </row>
    <row r="28" spans="1:8" ht="48" customHeight="1" x14ac:dyDescent="0.25">
      <c r="A28" s="3" t="s">
        <v>137</v>
      </c>
      <c r="B28" s="6" t="s">
        <v>33</v>
      </c>
      <c r="C28" s="3" t="s">
        <v>90</v>
      </c>
      <c r="D28" s="3" t="s">
        <v>91</v>
      </c>
      <c r="E28" s="3" t="s">
        <v>92</v>
      </c>
      <c r="F28" s="3"/>
      <c r="G28" s="5" t="str">
        <f>HYPERLINK("#'TERM CARDS'!A841","View card")</f>
        <v>View card</v>
      </c>
      <c r="H28" s="3">
        <v>841</v>
      </c>
    </row>
    <row r="29" spans="1:8" ht="48" customHeight="1" x14ac:dyDescent="0.25">
      <c r="A29" s="3" t="s">
        <v>138</v>
      </c>
      <c r="B29" s="8" t="s">
        <v>86</v>
      </c>
      <c r="C29" s="3" t="s">
        <v>93</v>
      </c>
      <c r="D29" s="3" t="s">
        <v>94</v>
      </c>
      <c r="E29" s="3" t="s">
        <v>95</v>
      </c>
      <c r="F29" s="3"/>
      <c r="G29" s="5" t="str">
        <f>HYPERLINK("#'TERM CARDS'!A863","View card")</f>
        <v>View card</v>
      </c>
      <c r="H29" s="3">
        <v>863</v>
      </c>
    </row>
    <row r="30" spans="1:8" ht="48" customHeight="1" x14ac:dyDescent="0.25">
      <c r="A30" s="3" t="s">
        <v>139</v>
      </c>
      <c r="B30" s="11" t="s">
        <v>33</v>
      </c>
      <c r="C30" s="3" t="s">
        <v>96</v>
      </c>
      <c r="D30" s="3" t="s">
        <v>97</v>
      </c>
      <c r="E30" s="3" t="s">
        <v>98</v>
      </c>
      <c r="F30" s="3"/>
      <c r="G30" s="5" t="str">
        <f>HYPERLINK("#'TERM CARDS'!A885","View card")</f>
        <v>View card</v>
      </c>
      <c r="H30" s="3">
        <v>885</v>
      </c>
    </row>
    <row r="31" spans="1:8" ht="48" customHeight="1" x14ac:dyDescent="0.25">
      <c r="A31" s="3" t="s">
        <v>140</v>
      </c>
      <c r="B31" s="11" t="s">
        <v>33</v>
      </c>
      <c r="C31" s="3" t="s">
        <v>99</v>
      </c>
      <c r="D31" s="3" t="s">
        <v>100</v>
      </c>
      <c r="E31" s="3" t="s">
        <v>101</v>
      </c>
      <c r="F31" s="3"/>
      <c r="G31" s="5" t="str">
        <f>HYPERLINK("#'TERM CARDS'!A907","View card")</f>
        <v>View card</v>
      </c>
      <c r="H31" s="3">
        <v>907</v>
      </c>
    </row>
    <row r="32" spans="1:8" ht="25.5" x14ac:dyDescent="0.25">
      <c r="A32" s="3" t="s">
        <v>141</v>
      </c>
      <c r="B32" s="4" t="s">
        <v>5</v>
      </c>
      <c r="C32" s="3" t="s">
        <v>102</v>
      </c>
      <c r="D32" s="3" t="s">
        <v>103</v>
      </c>
      <c r="E32" s="3" t="s">
        <v>104</v>
      </c>
      <c r="F32" s="3"/>
      <c r="G32" s="5" t="str">
        <f>HYPERLINK("#'TERM CARDS'!A929","View card")</f>
        <v>View card</v>
      </c>
      <c r="H32" s="3">
        <v>929</v>
      </c>
    </row>
    <row r="33" spans="1:8" ht="16.5" x14ac:dyDescent="0.3">
      <c r="A33"/>
      <c r="B33"/>
      <c r="C33"/>
      <c r="D33"/>
      <c r="E33"/>
      <c r="F33"/>
      <c r="G33"/>
      <c r="H33"/>
    </row>
    <row r="34" spans="1:8" ht="16.5" x14ac:dyDescent="0.3">
      <c r="A34"/>
      <c r="B34"/>
      <c r="C34"/>
      <c r="D34"/>
      <c r="E34"/>
      <c r="F34"/>
      <c r="G34"/>
      <c r="H34"/>
    </row>
    <row r="35" spans="1:8" ht="16.5" x14ac:dyDescent="0.3">
      <c r="A35"/>
      <c r="B35"/>
      <c r="C35"/>
      <c r="D35"/>
      <c r="E35"/>
      <c r="F35"/>
      <c r="G35"/>
      <c r="H35"/>
    </row>
    <row r="36" spans="1:8" ht="16.5" x14ac:dyDescent="0.3">
      <c r="A36"/>
      <c r="B36"/>
      <c r="C36"/>
      <c r="D36"/>
      <c r="E36"/>
      <c r="F36"/>
      <c r="G36"/>
      <c r="H36"/>
    </row>
    <row r="37" spans="1:8" ht="16.5" x14ac:dyDescent="0.3">
      <c r="A37"/>
      <c r="B37"/>
      <c r="C37"/>
      <c r="D37"/>
      <c r="E37"/>
      <c r="F37"/>
      <c r="G37"/>
      <c r="H37"/>
    </row>
    <row r="38" spans="1:8" ht="16.5" x14ac:dyDescent="0.3">
      <c r="A38"/>
      <c r="B38"/>
      <c r="C38"/>
      <c r="D38"/>
      <c r="E38"/>
      <c r="F38"/>
      <c r="G38"/>
      <c r="H38"/>
    </row>
    <row r="39" spans="1:8" ht="16.5" x14ac:dyDescent="0.3">
      <c r="A39"/>
      <c r="B39"/>
      <c r="C39"/>
      <c r="D39"/>
      <c r="E39"/>
      <c r="F39"/>
      <c r="G39"/>
      <c r="H39"/>
    </row>
    <row r="40" spans="1:8" ht="16.5" x14ac:dyDescent="0.3">
      <c r="A40"/>
      <c r="B40"/>
      <c r="C40"/>
      <c r="D40"/>
      <c r="E40"/>
      <c r="F40"/>
      <c r="G40"/>
      <c r="H40"/>
    </row>
    <row r="41" spans="1:8" ht="16.5" x14ac:dyDescent="0.3">
      <c r="A41"/>
      <c r="B41"/>
      <c r="C41"/>
      <c r="D41"/>
      <c r="E41"/>
      <c r="F41"/>
      <c r="G41"/>
      <c r="H41"/>
    </row>
    <row r="42" spans="1:8" ht="16.5" x14ac:dyDescent="0.3">
      <c r="A42"/>
      <c r="B42"/>
      <c r="C42"/>
      <c r="D42"/>
      <c r="E42"/>
      <c r="F42"/>
      <c r="G42"/>
      <c r="H42"/>
    </row>
    <row r="43" spans="1:8" ht="16.5" x14ac:dyDescent="0.3">
      <c r="A43"/>
      <c r="B43"/>
      <c r="C43"/>
      <c r="D43"/>
      <c r="E43"/>
      <c r="F43"/>
      <c r="G43"/>
      <c r="H43"/>
    </row>
    <row r="44" spans="1:8" ht="16.5" x14ac:dyDescent="0.3">
      <c r="A44"/>
      <c r="B44"/>
      <c r="C44"/>
      <c r="D44"/>
      <c r="E44"/>
      <c r="F44"/>
      <c r="G44"/>
      <c r="H44"/>
    </row>
    <row r="45" spans="1:8" ht="16.5" x14ac:dyDescent="0.3">
      <c r="A45"/>
      <c r="B45"/>
      <c r="C45"/>
      <c r="D45"/>
      <c r="E45"/>
      <c r="F45"/>
      <c r="G45"/>
      <c r="H45"/>
    </row>
    <row r="46" spans="1:8" ht="16.5" x14ac:dyDescent="0.3">
      <c r="A46"/>
      <c r="B46"/>
      <c r="C46"/>
      <c r="D46"/>
      <c r="E46"/>
      <c r="F46"/>
      <c r="G46"/>
      <c r="H46"/>
    </row>
    <row r="47" spans="1:8" ht="16.5" x14ac:dyDescent="0.3">
      <c r="A47"/>
      <c r="B47"/>
      <c r="C47"/>
      <c r="D47"/>
      <c r="E47"/>
      <c r="F47"/>
      <c r="G47"/>
      <c r="H47"/>
    </row>
    <row r="48" spans="1:8" ht="16.5" x14ac:dyDescent="0.3">
      <c r="A48"/>
      <c r="B48"/>
      <c r="C48"/>
      <c r="D48"/>
      <c r="E48"/>
      <c r="F48"/>
      <c r="G48"/>
      <c r="H48"/>
    </row>
    <row r="49" spans="1:8" ht="16.5" x14ac:dyDescent="0.3">
      <c r="A49"/>
      <c r="B49"/>
      <c r="C49"/>
      <c r="D49"/>
      <c r="E49"/>
      <c r="F49"/>
      <c r="G49"/>
      <c r="H49"/>
    </row>
    <row r="50" spans="1:8" ht="16.5" x14ac:dyDescent="0.3">
      <c r="A50"/>
      <c r="B50"/>
      <c r="C50"/>
      <c r="D50"/>
      <c r="E50"/>
      <c r="F50"/>
      <c r="G50"/>
      <c r="H50"/>
    </row>
    <row r="51" spans="1:8" ht="16.5" x14ac:dyDescent="0.3">
      <c r="A51"/>
      <c r="B51"/>
      <c r="C51"/>
      <c r="D51"/>
      <c r="E51"/>
      <c r="F51"/>
      <c r="G51"/>
      <c r="H51"/>
    </row>
    <row r="52" spans="1:8" ht="16.5" x14ac:dyDescent="0.3">
      <c r="A52"/>
      <c r="B52"/>
      <c r="C52"/>
      <c r="D52"/>
      <c r="E52"/>
      <c r="F52"/>
      <c r="G52"/>
      <c r="H52"/>
    </row>
    <row r="53" spans="1:8" ht="16.5" x14ac:dyDescent="0.3">
      <c r="A53"/>
      <c r="B53"/>
      <c r="C53"/>
      <c r="D53"/>
      <c r="E53"/>
      <c r="F53"/>
      <c r="G53"/>
      <c r="H53"/>
    </row>
    <row r="54" spans="1:8" ht="16.5" x14ac:dyDescent="0.3">
      <c r="A54"/>
      <c r="B54"/>
      <c r="C54"/>
      <c r="D54"/>
      <c r="E54"/>
      <c r="F54"/>
      <c r="G54"/>
      <c r="H54"/>
    </row>
    <row r="55" spans="1:8" ht="16.5" x14ac:dyDescent="0.3">
      <c r="A55"/>
      <c r="B55"/>
      <c r="C55"/>
      <c r="D55"/>
      <c r="E55"/>
      <c r="F55"/>
      <c r="G55"/>
      <c r="H55"/>
    </row>
    <row r="56" spans="1:8" ht="16.5" x14ac:dyDescent="0.3">
      <c r="A56"/>
      <c r="B56"/>
      <c r="C56"/>
      <c r="D56"/>
      <c r="E56"/>
      <c r="F56"/>
      <c r="G56"/>
      <c r="H56"/>
    </row>
    <row r="57" spans="1:8" ht="16.5" x14ac:dyDescent="0.3">
      <c r="A57"/>
      <c r="B57"/>
      <c r="C57"/>
      <c r="D57"/>
      <c r="E57"/>
      <c r="F57"/>
      <c r="G57"/>
      <c r="H57"/>
    </row>
    <row r="58" spans="1:8" ht="16.5" x14ac:dyDescent="0.3">
      <c r="A58"/>
      <c r="B58"/>
      <c r="C58"/>
      <c r="D58"/>
      <c r="E58"/>
      <c r="F58"/>
      <c r="G58"/>
      <c r="H58"/>
    </row>
    <row r="59" spans="1:8" ht="16.5" x14ac:dyDescent="0.3">
      <c r="A59"/>
      <c r="B59"/>
      <c r="C59"/>
      <c r="D59"/>
      <c r="E59"/>
      <c r="F59"/>
      <c r="G59"/>
      <c r="H59"/>
    </row>
    <row r="60" spans="1:8" ht="16.5" x14ac:dyDescent="0.3">
      <c r="A60"/>
      <c r="B60"/>
      <c r="C60"/>
      <c r="D60"/>
      <c r="E60"/>
      <c r="F60"/>
      <c r="G60"/>
      <c r="H60"/>
    </row>
    <row r="61" spans="1:8" ht="16.5" x14ac:dyDescent="0.3">
      <c r="A61"/>
      <c r="B61"/>
      <c r="C61"/>
      <c r="D61"/>
      <c r="E61"/>
      <c r="F61"/>
      <c r="G61"/>
      <c r="H61"/>
    </row>
    <row r="62" spans="1:8" ht="16.5" x14ac:dyDescent="0.3">
      <c r="A62"/>
      <c r="B62"/>
      <c r="C62"/>
      <c r="D62"/>
      <c r="E62"/>
      <c r="F62"/>
      <c r="G62"/>
      <c r="H62"/>
    </row>
    <row r="63" spans="1:8" ht="16.5" x14ac:dyDescent="0.3">
      <c r="A63"/>
      <c r="B63"/>
      <c r="C63"/>
      <c r="D63"/>
      <c r="E63"/>
      <c r="F63"/>
      <c r="G63"/>
      <c r="H63"/>
    </row>
    <row r="64" spans="1:8" ht="16.5" x14ac:dyDescent="0.3">
      <c r="A64"/>
      <c r="B64"/>
      <c r="C64"/>
      <c r="D64"/>
      <c r="E64"/>
      <c r="F64"/>
      <c r="G64"/>
      <c r="H64"/>
    </row>
    <row r="65" spans="1:8" ht="16.5" x14ac:dyDescent="0.3">
      <c r="A65"/>
      <c r="B65"/>
      <c r="C65"/>
      <c r="D65"/>
      <c r="E65"/>
      <c r="F65"/>
      <c r="G65"/>
      <c r="H65"/>
    </row>
    <row r="66" spans="1:8" ht="16.5" x14ac:dyDescent="0.3">
      <c r="A66"/>
      <c r="B66"/>
      <c r="C66"/>
      <c r="D66"/>
      <c r="E66"/>
      <c r="F66"/>
      <c r="G66"/>
      <c r="H66"/>
    </row>
    <row r="67" spans="1:8" ht="16.5" x14ac:dyDescent="0.3">
      <c r="A67"/>
      <c r="B67"/>
      <c r="C67"/>
      <c r="D67"/>
      <c r="E67"/>
      <c r="F67"/>
      <c r="G67"/>
      <c r="H67"/>
    </row>
    <row r="68" spans="1:8" ht="16.5" x14ac:dyDescent="0.3">
      <c r="A68"/>
      <c r="B68"/>
      <c r="C68"/>
      <c r="D68"/>
      <c r="E68"/>
      <c r="F68"/>
      <c r="G68"/>
      <c r="H68"/>
    </row>
    <row r="69" spans="1:8" ht="16.5" x14ac:dyDescent="0.3">
      <c r="A69"/>
      <c r="B69"/>
      <c r="C69"/>
      <c r="D69"/>
      <c r="E69"/>
      <c r="F69"/>
      <c r="G69"/>
      <c r="H69"/>
    </row>
    <row r="70" spans="1:8" ht="16.5" x14ac:dyDescent="0.3">
      <c r="A70"/>
      <c r="B70"/>
      <c r="C70"/>
      <c r="D70"/>
      <c r="E70"/>
      <c r="F70"/>
      <c r="G70"/>
      <c r="H70"/>
    </row>
    <row r="71" spans="1:8" ht="16.5" x14ac:dyDescent="0.3">
      <c r="A71"/>
      <c r="B71"/>
      <c r="C71"/>
      <c r="D71"/>
      <c r="E71"/>
      <c r="F71"/>
      <c r="G71"/>
      <c r="H71"/>
    </row>
    <row r="72" spans="1:8" ht="16.5" x14ac:dyDescent="0.3">
      <c r="A72"/>
      <c r="B72"/>
      <c r="C72"/>
      <c r="D72"/>
      <c r="E72"/>
      <c r="F72"/>
      <c r="G72"/>
      <c r="H72"/>
    </row>
    <row r="73" spans="1:8" ht="16.5" x14ac:dyDescent="0.3">
      <c r="A73"/>
      <c r="B73"/>
      <c r="C73"/>
      <c r="D73"/>
      <c r="E73"/>
      <c r="F73"/>
      <c r="G73"/>
      <c r="H73"/>
    </row>
    <row r="74" spans="1:8" ht="16.5" x14ac:dyDescent="0.3">
      <c r="A74"/>
      <c r="B74"/>
      <c r="C74"/>
      <c r="D74"/>
      <c r="E74"/>
      <c r="F74"/>
      <c r="G74"/>
      <c r="H74"/>
    </row>
    <row r="75" spans="1:8" ht="16.5" x14ac:dyDescent="0.3">
      <c r="A75"/>
      <c r="B75"/>
      <c r="C75"/>
      <c r="D75"/>
      <c r="E75"/>
      <c r="F75"/>
      <c r="G75"/>
      <c r="H75"/>
    </row>
    <row r="76" spans="1:8" ht="16.5" x14ac:dyDescent="0.3">
      <c r="A76"/>
      <c r="B76"/>
      <c r="C76"/>
      <c r="D76"/>
      <c r="E76"/>
      <c r="F76"/>
      <c r="G76"/>
      <c r="H76"/>
    </row>
    <row r="77" spans="1:8" ht="16.5" x14ac:dyDescent="0.3">
      <c r="A77"/>
      <c r="B77"/>
      <c r="C77"/>
      <c r="D77"/>
      <c r="E77"/>
      <c r="F77"/>
      <c r="G77"/>
      <c r="H77"/>
    </row>
    <row r="78" spans="1:8" ht="16.5" x14ac:dyDescent="0.3">
      <c r="A78"/>
      <c r="B78"/>
      <c r="C78"/>
      <c r="D78"/>
      <c r="E78"/>
      <c r="F78"/>
      <c r="G78"/>
      <c r="H7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6617-C88C-4574-ACBA-9832399CF3E6}">
  <sheetPr codeName="Sheet5"/>
  <dimension ref="A1:L79"/>
  <sheetViews>
    <sheetView workbookViewId="0">
      <selection activeCell="C7" sqref="C7"/>
    </sheetView>
  </sheetViews>
  <sheetFormatPr defaultRowHeight="15" x14ac:dyDescent="0.25"/>
  <cols>
    <col min="1" max="16384" width="9" style="1"/>
  </cols>
  <sheetData>
    <row r="1" spans="1:12" ht="16.5" x14ac:dyDescent="0.3">
      <c r="A1" s="1" t="s">
        <v>142</v>
      </c>
      <c r="C1" s="1" t="s">
        <v>143</v>
      </c>
      <c r="E1" s="1" t="s">
        <v>144</v>
      </c>
      <c r="F1" s="1" t="s">
        <v>1</v>
      </c>
      <c r="G1" s="1" t="s">
        <v>4</v>
      </c>
      <c r="H1" s="1" t="s">
        <v>2</v>
      </c>
      <c r="I1" s="1" t="s">
        <v>3</v>
      </c>
      <c r="J1" s="1" t="s">
        <v>110</v>
      </c>
      <c r="L1" t="s">
        <v>145</v>
      </c>
    </row>
    <row r="2" spans="1:12" ht="16.5" x14ac:dyDescent="0.3">
      <c r="A2" s="1" t="s">
        <v>0</v>
      </c>
      <c r="C2" s="1" t="s">
        <v>146</v>
      </c>
      <c r="E2" s="1" t="s">
        <v>147</v>
      </c>
      <c r="F2" s="1" t="s">
        <v>5</v>
      </c>
      <c r="G2" s="1" t="s">
        <v>6</v>
      </c>
      <c r="H2" s="1" t="s">
        <v>7</v>
      </c>
      <c r="I2" s="1" t="s">
        <v>8</v>
      </c>
      <c r="J2" s="1">
        <v>5</v>
      </c>
      <c r="L2" t="s">
        <v>146</v>
      </c>
    </row>
    <row r="3" spans="1:12" ht="16.5" x14ac:dyDescent="0.3">
      <c r="A3" s="1" t="s">
        <v>26</v>
      </c>
      <c r="C3" s="1" t="s">
        <v>6</v>
      </c>
      <c r="E3" s="1" t="s">
        <v>148</v>
      </c>
      <c r="F3" s="1" t="s">
        <v>5</v>
      </c>
      <c r="G3" s="1" t="s">
        <v>9</v>
      </c>
      <c r="H3" s="1" t="s">
        <v>10</v>
      </c>
      <c r="I3" s="1" t="s">
        <v>11</v>
      </c>
      <c r="J3" s="1">
        <v>27</v>
      </c>
      <c r="L3" t="e">
        <f>IF(#REF!="ALL",IFERROR(INDEX(DATABASE!$C$2:$C$32,ROWS($L$3:L3)),""),IFERROR(INDEX($G$2:$G$32,MATCH(#REF!&amp;"|"&amp;ROWS($L$3:L3),$E$2:$E$32,0)),""))</f>
        <v>#REF!</v>
      </c>
    </row>
    <row r="4" spans="1:12" ht="16.5" x14ac:dyDescent="0.3">
      <c r="A4" s="1" t="s">
        <v>5</v>
      </c>
      <c r="C4" s="1" t="s">
        <v>9</v>
      </c>
      <c r="E4" s="1" t="s">
        <v>149</v>
      </c>
      <c r="F4" s="1" t="s">
        <v>12</v>
      </c>
      <c r="G4" s="1" t="s">
        <v>13</v>
      </c>
      <c r="H4" s="1" t="s">
        <v>14</v>
      </c>
      <c r="I4" s="1" t="s">
        <v>15</v>
      </c>
      <c r="J4" s="1">
        <v>71</v>
      </c>
      <c r="L4" t="e">
        <f>IF(#REF!="ALL",IFERROR(INDEX(DATABASE!$C$2:$C$32,ROWS($L$3:L4)),""),IFERROR(INDEX($G$2:$G$32,MATCH(#REF!&amp;"|"&amp;ROWS($L$3:L4),$E$2:$E$32,0)),""))</f>
        <v>#REF!</v>
      </c>
    </row>
    <row r="5" spans="1:12" ht="16.5" x14ac:dyDescent="0.3">
      <c r="A5" s="1" t="s">
        <v>40</v>
      </c>
      <c r="C5" s="1" t="s">
        <v>13</v>
      </c>
      <c r="E5" s="1" t="s">
        <v>150</v>
      </c>
      <c r="F5" s="1" t="s">
        <v>5</v>
      </c>
      <c r="G5" s="1" t="s">
        <v>16</v>
      </c>
      <c r="H5" s="1" t="s">
        <v>17</v>
      </c>
      <c r="I5" s="1" t="s">
        <v>18</v>
      </c>
      <c r="J5" s="1">
        <v>93</v>
      </c>
      <c r="L5" t="e">
        <f>IF(#REF!="ALL",IFERROR(INDEX(DATABASE!$C$2:$C$32,ROWS($L$3:L5)),""),IFERROR(INDEX($G$2:$G$32,MATCH(#REF!&amp;"|"&amp;ROWS($L$3:L5),$E$2:$E$32,0)),""))</f>
        <v>#REF!</v>
      </c>
    </row>
    <row r="6" spans="1:12" ht="16.5" x14ac:dyDescent="0.3">
      <c r="A6" s="1" t="s">
        <v>86</v>
      </c>
      <c r="C6" s="1" t="s">
        <v>16</v>
      </c>
      <c r="E6" s="1" t="s">
        <v>151</v>
      </c>
      <c r="F6" s="1" t="s">
        <v>5</v>
      </c>
      <c r="G6" s="1" t="s">
        <v>105</v>
      </c>
      <c r="H6" s="1" t="s">
        <v>20</v>
      </c>
      <c r="I6" s="1" t="s">
        <v>21</v>
      </c>
      <c r="J6" s="1">
        <v>115</v>
      </c>
      <c r="L6" t="e">
        <f>IF(#REF!="ALL",IFERROR(INDEX(DATABASE!$C$2:$C$32,ROWS($L$3:L6)),""),IFERROR(INDEX($G$2:$G$32,MATCH(#REF!&amp;"|"&amp;ROWS($L$3:L6),$E$2:$E$32,0)),""))</f>
        <v>#REF!</v>
      </c>
    </row>
    <row r="7" spans="1:12" ht="16.5" x14ac:dyDescent="0.3">
      <c r="A7" s="1" t="s">
        <v>12</v>
      </c>
      <c r="C7" s="1" t="s">
        <v>105</v>
      </c>
      <c r="E7" s="1" t="s">
        <v>152</v>
      </c>
      <c r="F7" s="1" t="s">
        <v>22</v>
      </c>
      <c r="G7" s="1" t="s">
        <v>23</v>
      </c>
      <c r="H7" s="1" t="s">
        <v>24</v>
      </c>
      <c r="I7" s="1" t="s">
        <v>25</v>
      </c>
      <c r="J7" s="1">
        <v>181</v>
      </c>
      <c r="L7" t="e">
        <f>IF(#REF!="ALL",IFERROR(INDEX(DATABASE!$C$2:$C$32,ROWS($L$3:L7)),""),IFERROR(INDEX($G$2:$G$32,MATCH(#REF!&amp;"|"&amp;ROWS($L$3:L7),$E$2:$E$32,0)),""))</f>
        <v>#REF!</v>
      </c>
    </row>
    <row r="8" spans="1:12" ht="16.5" x14ac:dyDescent="0.3">
      <c r="A8" s="1" t="s">
        <v>33</v>
      </c>
      <c r="C8" s="1" t="s">
        <v>23</v>
      </c>
      <c r="E8" s="1" t="s">
        <v>153</v>
      </c>
      <c r="F8" s="1" t="s">
        <v>26</v>
      </c>
      <c r="G8" s="1" t="s">
        <v>27</v>
      </c>
      <c r="H8" s="1" t="s">
        <v>28</v>
      </c>
      <c r="I8" s="1" t="s">
        <v>29</v>
      </c>
      <c r="J8" s="1">
        <v>203</v>
      </c>
      <c r="L8" t="e">
        <f>IF(#REF!="ALL",IFERROR(INDEX(DATABASE!$C$2:$C$32,ROWS($L$3:L8)),""),IFERROR(INDEX($G$2:$G$32,MATCH(#REF!&amp;"|"&amp;ROWS($L$3:L8),$E$2:$E$32,0)),""))</f>
        <v>#REF!</v>
      </c>
    </row>
    <row r="9" spans="1:12" ht="16.5" x14ac:dyDescent="0.3">
      <c r="A9" s="1" t="s">
        <v>22</v>
      </c>
      <c r="C9" s="1" t="s">
        <v>27</v>
      </c>
      <c r="E9" s="1" t="s">
        <v>154</v>
      </c>
      <c r="F9" s="1" t="s">
        <v>22</v>
      </c>
      <c r="G9" s="1" t="s">
        <v>30</v>
      </c>
      <c r="H9" s="1" t="s">
        <v>31</v>
      </c>
      <c r="I9" s="1" t="s">
        <v>32</v>
      </c>
      <c r="J9" s="1">
        <v>247</v>
      </c>
      <c r="L9" t="e">
        <f>IF(#REF!="ALL",IFERROR(INDEX(DATABASE!$C$2:$C$32,ROWS($L$3:L9)),""),IFERROR(INDEX($G$2:$G$32,MATCH(#REF!&amp;"|"&amp;ROWS($L$3:L9),$E$2:$E$32,0)),""))</f>
        <v>#REF!</v>
      </c>
    </row>
    <row r="10" spans="1:12" ht="16.5" x14ac:dyDescent="0.3">
      <c r="A10" s="1" t="s">
        <v>106</v>
      </c>
      <c r="C10" s="1" t="s">
        <v>30</v>
      </c>
      <c r="E10" s="1" t="s">
        <v>155</v>
      </c>
      <c r="F10" s="1" t="s">
        <v>33</v>
      </c>
      <c r="G10" s="1" t="s">
        <v>34</v>
      </c>
      <c r="H10" s="1" t="s">
        <v>35</v>
      </c>
      <c r="I10" s="1" t="s">
        <v>36</v>
      </c>
      <c r="J10" s="1">
        <v>269</v>
      </c>
      <c r="L10" t="e">
        <f>IF(#REF!="ALL",IFERROR(INDEX(DATABASE!$C$2:$C$32,ROWS($L$3:L10)),""),IFERROR(INDEX($G$2:$G$32,MATCH(#REF!&amp;"|"&amp;ROWS($L$3:L10),$E$2:$E$32,0)),""))</f>
        <v>#REF!</v>
      </c>
    </row>
    <row r="11" spans="1:12" ht="16.5" x14ac:dyDescent="0.3">
      <c r="A11"/>
      <c r="C11" s="1" t="s">
        <v>34</v>
      </c>
      <c r="E11" s="1" t="s">
        <v>156</v>
      </c>
      <c r="F11" s="1" t="s">
        <v>12</v>
      </c>
      <c r="G11" s="1" t="s">
        <v>37</v>
      </c>
      <c r="H11" s="1" t="s">
        <v>38</v>
      </c>
      <c r="I11" s="1" t="s">
        <v>39</v>
      </c>
      <c r="J11" s="1">
        <v>291</v>
      </c>
      <c r="L11" t="e">
        <f>IF(#REF!="ALL",IFERROR(INDEX(DATABASE!$C$2:$C$32,ROWS($L$3:L11)),""),IFERROR(INDEX($G$2:$G$32,MATCH(#REF!&amp;"|"&amp;ROWS($L$3:L11),$E$2:$E$32,0)),""))</f>
        <v>#REF!</v>
      </c>
    </row>
    <row r="12" spans="1:12" ht="16.5" x14ac:dyDescent="0.3">
      <c r="A12"/>
      <c r="C12" s="1" t="s">
        <v>37</v>
      </c>
      <c r="E12" s="1" t="s">
        <v>157</v>
      </c>
      <c r="F12" s="1" t="s">
        <v>40</v>
      </c>
      <c r="G12" s="1" t="s">
        <v>41</v>
      </c>
      <c r="H12" s="1" t="s">
        <v>42</v>
      </c>
      <c r="I12" s="1" t="s">
        <v>43</v>
      </c>
      <c r="J12" s="1">
        <v>313</v>
      </c>
      <c r="L12" t="e">
        <f>IF(#REF!="ALL",IFERROR(INDEX(DATABASE!$C$2:$C$32,ROWS($L$3:L12)),""),IFERROR(INDEX($G$2:$G$32,MATCH(#REF!&amp;"|"&amp;ROWS($L$3:L12),$E$2:$E$32,0)),""))</f>
        <v>#REF!</v>
      </c>
    </row>
    <row r="13" spans="1:12" ht="16.5" x14ac:dyDescent="0.3">
      <c r="A13"/>
      <c r="C13" s="1" t="s">
        <v>41</v>
      </c>
      <c r="E13" s="1" t="s">
        <v>158</v>
      </c>
      <c r="F13" s="1" t="s">
        <v>40</v>
      </c>
      <c r="G13" s="1" t="s">
        <v>44</v>
      </c>
      <c r="H13" s="1" t="s">
        <v>45</v>
      </c>
      <c r="I13" s="1" t="s">
        <v>46</v>
      </c>
      <c r="J13" s="1">
        <v>335</v>
      </c>
      <c r="L13" t="e">
        <f>IF(#REF!="ALL",IFERROR(INDEX(DATABASE!$C$2:$C$32,ROWS($L$3:L13)),""),IFERROR(INDEX($G$2:$G$32,MATCH(#REF!&amp;"|"&amp;ROWS($L$3:L13),$E$2:$E$32,0)),""))</f>
        <v>#REF!</v>
      </c>
    </row>
    <row r="14" spans="1:12" ht="16.5" x14ac:dyDescent="0.3">
      <c r="A14"/>
      <c r="C14" s="1" t="s">
        <v>44</v>
      </c>
      <c r="E14" s="1" t="s">
        <v>159</v>
      </c>
      <c r="F14" s="1" t="s">
        <v>40</v>
      </c>
      <c r="G14" s="1" t="s">
        <v>47</v>
      </c>
      <c r="H14" s="1" t="s">
        <v>48</v>
      </c>
      <c r="I14" s="1" t="s">
        <v>49</v>
      </c>
      <c r="J14" s="1">
        <v>357</v>
      </c>
      <c r="L14" t="e">
        <f>IF(#REF!="ALL",IFERROR(INDEX(DATABASE!$C$2:$C$32,ROWS($L$3:L14)),""),IFERROR(INDEX($G$2:$G$32,MATCH(#REF!&amp;"|"&amp;ROWS($L$3:L14),$E$2:$E$32,0)),""))</f>
        <v>#REF!</v>
      </c>
    </row>
    <row r="15" spans="1:12" ht="16.5" x14ac:dyDescent="0.3">
      <c r="A15"/>
      <c r="C15" s="1" t="s">
        <v>47</v>
      </c>
      <c r="E15" s="1" t="s">
        <v>160</v>
      </c>
      <c r="F15" s="1" t="s">
        <v>40</v>
      </c>
      <c r="G15" s="1" t="s">
        <v>50</v>
      </c>
      <c r="H15" s="1" t="s">
        <v>51</v>
      </c>
      <c r="I15" s="1" t="s">
        <v>52</v>
      </c>
      <c r="J15" s="1">
        <v>379</v>
      </c>
      <c r="L15" t="e">
        <f>IF(#REF!="ALL",IFERROR(INDEX(DATABASE!$C$2:$C$32,ROWS($L$3:L15)),""),IFERROR(INDEX($G$2:$G$32,MATCH(#REF!&amp;"|"&amp;ROWS($L$3:L15),$E$2:$E$32,0)),""))</f>
        <v>#REF!</v>
      </c>
    </row>
    <row r="16" spans="1:12" ht="16.5" x14ac:dyDescent="0.3">
      <c r="A16"/>
      <c r="C16" s="1" t="s">
        <v>50</v>
      </c>
      <c r="E16" s="1" t="s">
        <v>161</v>
      </c>
      <c r="F16" s="1" t="s">
        <v>40</v>
      </c>
      <c r="G16" s="1" t="s">
        <v>53</v>
      </c>
      <c r="H16" s="1" t="s">
        <v>54</v>
      </c>
      <c r="I16" s="1" t="s">
        <v>55</v>
      </c>
      <c r="J16" s="1">
        <v>467</v>
      </c>
      <c r="L16" t="e">
        <f>IF(#REF!="ALL",IFERROR(INDEX(DATABASE!$C$2:$C$32,ROWS($L$3:L16)),""),IFERROR(INDEX($G$2:$G$32,MATCH(#REF!&amp;"|"&amp;ROWS($L$3:L16),$E$2:$E$32,0)),""))</f>
        <v>#REF!</v>
      </c>
    </row>
    <row r="17" spans="1:12" ht="16.5" x14ac:dyDescent="0.3">
      <c r="A17"/>
      <c r="C17" s="1" t="s">
        <v>53</v>
      </c>
      <c r="E17" s="1" t="s">
        <v>162</v>
      </c>
      <c r="F17" s="1" t="s">
        <v>5</v>
      </c>
      <c r="G17" s="1" t="s">
        <v>56</v>
      </c>
      <c r="H17" s="1" t="s">
        <v>57</v>
      </c>
      <c r="I17" s="1" t="s">
        <v>58</v>
      </c>
      <c r="J17" s="1">
        <v>511</v>
      </c>
      <c r="L17" t="e">
        <f>IF(#REF!="ALL",IFERROR(INDEX(DATABASE!$C$2:$C$32,ROWS($L$3:L17)),""),IFERROR(INDEX($G$2:$G$32,MATCH(#REF!&amp;"|"&amp;ROWS($L$3:L17),$E$2:$E$32,0)),""))</f>
        <v>#REF!</v>
      </c>
    </row>
    <row r="18" spans="1:12" ht="16.5" x14ac:dyDescent="0.3">
      <c r="A18"/>
      <c r="C18" s="1" t="s">
        <v>56</v>
      </c>
      <c r="E18" s="1" t="s">
        <v>163</v>
      </c>
      <c r="F18" s="1" t="s">
        <v>5</v>
      </c>
      <c r="G18" s="1" t="s">
        <v>59</v>
      </c>
      <c r="H18" s="1" t="s">
        <v>60</v>
      </c>
      <c r="I18" s="1" t="s">
        <v>61</v>
      </c>
      <c r="J18" s="1">
        <v>599</v>
      </c>
      <c r="L18" t="e">
        <f>IF(#REF!="ALL",IFERROR(INDEX(DATABASE!$C$2:$C$32,ROWS($L$3:L18)),""),IFERROR(INDEX($G$2:$G$32,MATCH(#REF!&amp;"|"&amp;ROWS($L$3:L18),$E$2:$E$32,0)),""))</f>
        <v>#REF!</v>
      </c>
    </row>
    <row r="19" spans="1:12" ht="16.5" x14ac:dyDescent="0.3">
      <c r="A19"/>
      <c r="C19" s="1" t="s">
        <v>59</v>
      </c>
      <c r="E19" s="1" t="s">
        <v>164</v>
      </c>
      <c r="F19" s="1" t="s">
        <v>22</v>
      </c>
      <c r="G19" s="1" t="s">
        <v>62</v>
      </c>
      <c r="H19" s="1" t="s">
        <v>63</v>
      </c>
      <c r="I19" s="1" t="s">
        <v>64</v>
      </c>
      <c r="J19" s="1">
        <v>621</v>
      </c>
      <c r="L19" t="e">
        <f>IF(#REF!="ALL",IFERROR(INDEX(DATABASE!$C$2:$C$32,ROWS($L$3:L19)),""),IFERROR(INDEX($G$2:$G$32,MATCH(#REF!&amp;"|"&amp;ROWS($L$3:L19),$E$2:$E$32,0)),""))</f>
        <v>#REF!</v>
      </c>
    </row>
    <row r="20" spans="1:12" ht="16.5" x14ac:dyDescent="0.3">
      <c r="C20" s="1" t="s">
        <v>62</v>
      </c>
      <c r="E20" s="1" t="s">
        <v>165</v>
      </c>
      <c r="F20" s="1" t="s">
        <v>26</v>
      </c>
      <c r="G20" s="1" t="s">
        <v>65</v>
      </c>
      <c r="H20" s="1" t="s">
        <v>66</v>
      </c>
      <c r="I20" s="1" t="s">
        <v>67</v>
      </c>
      <c r="J20" s="1">
        <v>643</v>
      </c>
      <c r="L20" t="e">
        <f>IF(#REF!="ALL",IFERROR(INDEX(DATABASE!$C$2:$C$32,ROWS($L$3:L20)),""),IFERROR(INDEX($G$2:$G$32,MATCH(#REF!&amp;"|"&amp;ROWS($L$3:L20),$E$2:$E$32,0)),""))</f>
        <v>#REF!</v>
      </c>
    </row>
    <row r="21" spans="1:12" ht="16.5" x14ac:dyDescent="0.3">
      <c r="C21" s="1" t="s">
        <v>65</v>
      </c>
      <c r="E21" s="1" t="s">
        <v>166</v>
      </c>
      <c r="F21" s="1" t="s">
        <v>40</v>
      </c>
      <c r="G21" s="1" t="s">
        <v>68</v>
      </c>
      <c r="H21" s="1" t="s">
        <v>69</v>
      </c>
      <c r="I21" s="1" t="s">
        <v>70</v>
      </c>
      <c r="J21" s="1">
        <v>687</v>
      </c>
      <c r="L21" t="e">
        <f>IF(#REF!="ALL",IFERROR(INDEX(DATABASE!$C$2:$C$32,ROWS($L$3:L21)),""),IFERROR(INDEX($G$2:$G$32,MATCH(#REF!&amp;"|"&amp;ROWS($L$3:L21),$E$2:$E$32,0)),""))</f>
        <v>#REF!</v>
      </c>
    </row>
    <row r="22" spans="1:12" ht="16.5" x14ac:dyDescent="0.3">
      <c r="C22" s="1" t="s">
        <v>68</v>
      </c>
      <c r="E22" s="1" t="s">
        <v>167</v>
      </c>
      <c r="F22" s="1" t="s">
        <v>40</v>
      </c>
      <c r="G22" s="1" t="s">
        <v>71</v>
      </c>
      <c r="H22" s="1" t="s">
        <v>72</v>
      </c>
      <c r="I22" s="1" t="s">
        <v>73</v>
      </c>
      <c r="J22" s="1">
        <v>709</v>
      </c>
      <c r="L22" t="e">
        <f>IF(#REF!="ALL",IFERROR(INDEX(DATABASE!$C$2:$C$32,ROWS($L$3:L22)),""),IFERROR(INDEX($G$2:$G$32,MATCH(#REF!&amp;"|"&amp;ROWS($L$3:L22),$E$2:$E$32,0)),""))</f>
        <v>#REF!</v>
      </c>
    </row>
    <row r="23" spans="1:12" ht="16.5" x14ac:dyDescent="0.3">
      <c r="C23" s="1" t="s">
        <v>71</v>
      </c>
      <c r="E23" s="1" t="s">
        <v>168</v>
      </c>
      <c r="F23" s="1" t="s">
        <v>40</v>
      </c>
      <c r="G23" s="1" t="s">
        <v>74</v>
      </c>
      <c r="H23" s="1" t="s">
        <v>75</v>
      </c>
      <c r="I23" s="1" t="s">
        <v>76</v>
      </c>
      <c r="J23" s="1">
        <v>731</v>
      </c>
      <c r="L23" t="e">
        <f>IF(#REF!="ALL",IFERROR(INDEX(DATABASE!$C$2:$C$32,ROWS($L$3:L23)),""),IFERROR(INDEX($G$2:$G$32,MATCH(#REF!&amp;"|"&amp;ROWS($L$3:L23),$E$2:$E$32,0)),""))</f>
        <v>#REF!</v>
      </c>
    </row>
    <row r="24" spans="1:12" ht="16.5" x14ac:dyDescent="0.3">
      <c r="C24" s="1" t="s">
        <v>74</v>
      </c>
      <c r="E24" s="1" t="s">
        <v>169</v>
      </c>
      <c r="F24" s="1" t="s">
        <v>40</v>
      </c>
      <c r="G24" s="1" t="s">
        <v>77</v>
      </c>
      <c r="H24" s="1" t="s">
        <v>78</v>
      </c>
      <c r="I24" s="1" t="s">
        <v>79</v>
      </c>
      <c r="J24" s="1">
        <v>753</v>
      </c>
      <c r="L24" t="e">
        <f>IF(#REF!="ALL",IFERROR(INDEX(DATABASE!$C$2:$C$32,ROWS($L$3:L24)),""),IFERROR(INDEX($G$2:$G$32,MATCH(#REF!&amp;"|"&amp;ROWS($L$3:L24),$E$2:$E$32,0)),""))</f>
        <v>#REF!</v>
      </c>
    </row>
    <row r="25" spans="1:12" ht="16.5" x14ac:dyDescent="0.3">
      <c r="C25" s="1" t="s">
        <v>77</v>
      </c>
      <c r="E25" s="1" t="s">
        <v>170</v>
      </c>
      <c r="F25" s="1" t="s">
        <v>5</v>
      </c>
      <c r="G25" s="1" t="s">
        <v>80</v>
      </c>
      <c r="H25" s="1" t="s">
        <v>81</v>
      </c>
      <c r="I25" s="1" t="s">
        <v>82</v>
      </c>
      <c r="J25" s="1">
        <v>775</v>
      </c>
      <c r="L25" t="e">
        <f>IF(#REF!="ALL",IFERROR(INDEX(DATABASE!$C$2:$C$32,ROWS($L$3:L25)),""),IFERROR(INDEX($G$2:$G$32,MATCH(#REF!&amp;"|"&amp;ROWS($L$3:L25),$E$2:$E$32,0)),""))</f>
        <v>#REF!</v>
      </c>
    </row>
    <row r="26" spans="1:12" ht="16.5" x14ac:dyDescent="0.3">
      <c r="C26" s="1" t="s">
        <v>80</v>
      </c>
      <c r="E26" s="1" t="s">
        <v>171</v>
      </c>
      <c r="F26" s="1" t="s">
        <v>5</v>
      </c>
      <c r="G26" s="1" t="s">
        <v>83</v>
      </c>
      <c r="H26" s="1" t="s">
        <v>84</v>
      </c>
      <c r="I26" s="1" t="s">
        <v>85</v>
      </c>
      <c r="J26" s="1">
        <v>797</v>
      </c>
      <c r="L26" t="e">
        <f>IF(#REF!="ALL",IFERROR(INDEX(DATABASE!$C$2:$C$32,ROWS($L$3:L26)),""),IFERROR(INDEX($G$2:$G$32,MATCH(#REF!&amp;"|"&amp;ROWS($L$3:L26),$E$2:$E$32,0)),""))</f>
        <v>#REF!</v>
      </c>
    </row>
    <row r="27" spans="1:12" ht="16.5" x14ac:dyDescent="0.3">
      <c r="C27" s="1" t="s">
        <v>83</v>
      </c>
      <c r="E27" s="1" t="s">
        <v>172</v>
      </c>
      <c r="F27" s="1" t="s">
        <v>86</v>
      </c>
      <c r="G27" s="1" t="s">
        <v>87</v>
      </c>
      <c r="H27" s="1" t="s">
        <v>88</v>
      </c>
      <c r="I27" s="1" t="s">
        <v>89</v>
      </c>
      <c r="J27" s="1">
        <v>819</v>
      </c>
      <c r="L27" t="e">
        <f>IF(#REF!="ALL",IFERROR(INDEX(DATABASE!$C$2:$C$32,ROWS($L$3:L27)),""),IFERROR(INDEX($G$2:$G$32,MATCH(#REF!&amp;"|"&amp;ROWS($L$3:L27),$E$2:$E$32,0)),""))</f>
        <v>#REF!</v>
      </c>
    </row>
    <row r="28" spans="1:12" ht="16.5" x14ac:dyDescent="0.3">
      <c r="C28" s="1" t="s">
        <v>87</v>
      </c>
      <c r="E28" s="1" t="s">
        <v>173</v>
      </c>
      <c r="F28" s="1" t="s">
        <v>33</v>
      </c>
      <c r="G28" s="1" t="s">
        <v>90</v>
      </c>
      <c r="H28" s="1" t="s">
        <v>91</v>
      </c>
      <c r="I28" s="1" t="s">
        <v>92</v>
      </c>
      <c r="J28" s="1">
        <v>841</v>
      </c>
      <c r="L28" t="e">
        <f>IF(#REF!="ALL",IFERROR(INDEX(DATABASE!$C$2:$C$32,ROWS($L$3:L28)),""),IFERROR(INDEX($G$2:$G$32,MATCH(#REF!&amp;"|"&amp;ROWS($L$3:L28),$E$2:$E$32,0)),""))</f>
        <v>#REF!</v>
      </c>
    </row>
    <row r="29" spans="1:12" ht="16.5" x14ac:dyDescent="0.3">
      <c r="C29" s="1" t="s">
        <v>90</v>
      </c>
      <c r="E29" s="1" t="s">
        <v>174</v>
      </c>
      <c r="F29" s="1" t="s">
        <v>86</v>
      </c>
      <c r="G29" s="1" t="s">
        <v>93</v>
      </c>
      <c r="H29" s="1" t="s">
        <v>94</v>
      </c>
      <c r="I29" s="1" t="s">
        <v>95</v>
      </c>
      <c r="J29" s="1">
        <v>863</v>
      </c>
      <c r="L29" t="e">
        <f>IF(#REF!="ALL",IFERROR(INDEX(DATABASE!$C$2:$C$32,ROWS($L$3:L29)),""),IFERROR(INDEX($G$2:$G$32,MATCH(#REF!&amp;"|"&amp;ROWS($L$3:L29),$E$2:$E$32,0)),""))</f>
        <v>#REF!</v>
      </c>
    </row>
    <row r="30" spans="1:12" ht="16.5" x14ac:dyDescent="0.3">
      <c r="C30" s="1" t="s">
        <v>93</v>
      </c>
      <c r="E30" s="1" t="s">
        <v>175</v>
      </c>
      <c r="F30" s="1" t="s">
        <v>33</v>
      </c>
      <c r="G30" s="1" t="s">
        <v>96</v>
      </c>
      <c r="H30" s="1" t="s">
        <v>97</v>
      </c>
      <c r="I30" s="1" t="s">
        <v>98</v>
      </c>
      <c r="J30" s="1">
        <v>885</v>
      </c>
      <c r="L30" t="e">
        <f>IF(#REF!="ALL",IFERROR(INDEX(DATABASE!$C$2:$C$32,ROWS($L$3:L30)),""),IFERROR(INDEX($G$2:$G$32,MATCH(#REF!&amp;"|"&amp;ROWS($L$3:L30),$E$2:$E$32,0)),""))</f>
        <v>#REF!</v>
      </c>
    </row>
    <row r="31" spans="1:12" ht="16.5" x14ac:dyDescent="0.3">
      <c r="C31" s="1" t="s">
        <v>96</v>
      </c>
      <c r="E31" s="1" t="s">
        <v>176</v>
      </c>
      <c r="F31" s="1" t="s">
        <v>33</v>
      </c>
      <c r="G31" s="1" t="s">
        <v>99</v>
      </c>
      <c r="H31" s="1" t="s">
        <v>100</v>
      </c>
      <c r="I31" s="1" t="s">
        <v>101</v>
      </c>
      <c r="J31" s="1">
        <v>907</v>
      </c>
      <c r="L31" t="e">
        <f>IF(#REF!="ALL",IFERROR(INDEX(DATABASE!$C$2:$C$32,ROWS($L$3:L31)),""),IFERROR(INDEX($G$2:$G$32,MATCH(#REF!&amp;"|"&amp;ROWS($L$3:L31),$E$2:$E$32,0)),""))</f>
        <v>#REF!</v>
      </c>
    </row>
    <row r="32" spans="1:12" ht="16.5" x14ac:dyDescent="0.3">
      <c r="C32" s="1" t="s">
        <v>99</v>
      </c>
      <c r="E32" s="1" t="s">
        <v>177</v>
      </c>
      <c r="F32" s="1" t="s">
        <v>5</v>
      </c>
      <c r="G32" s="1" t="s">
        <v>102</v>
      </c>
      <c r="H32" s="1" t="s">
        <v>103</v>
      </c>
      <c r="I32" s="1" t="s">
        <v>104</v>
      </c>
      <c r="J32" s="1">
        <v>929</v>
      </c>
      <c r="L32" t="e">
        <f>IF(#REF!="ALL",IFERROR(INDEX(DATABASE!$C$2:$C$32,ROWS($L$3:L32)),""),IFERROR(INDEX($G$2:$G$32,MATCH(#REF!&amp;"|"&amp;ROWS($L$3:L32),$E$2:$E$32,0)),""))</f>
        <v>#REF!</v>
      </c>
    </row>
    <row r="33" spans="3:12" ht="16.5" x14ac:dyDescent="0.3">
      <c r="C33" s="1" t="s">
        <v>102</v>
      </c>
      <c r="E33" s="12"/>
      <c r="F33" s="12"/>
      <c r="G33" s="12"/>
      <c r="H33" s="12"/>
      <c r="I33" s="12"/>
      <c r="J33" s="12"/>
      <c r="L33" t="e">
        <f>IF(#REF!="ALL",IFERROR(INDEX(DATABASE!$C$2:$C$32,ROWS($L$3:L33)),""),IFERROR(INDEX($G$2:$G$32,MATCH(#REF!&amp;"|"&amp;ROWS($L$3:L33),$E$2:$E$32,0)),""))</f>
        <v>#REF!</v>
      </c>
    </row>
    <row r="34" spans="3:12" ht="16.5" x14ac:dyDescent="0.3">
      <c r="C34" s="12"/>
      <c r="E34"/>
      <c r="F34"/>
      <c r="G34"/>
      <c r="H34"/>
      <c r="I34"/>
      <c r="J34"/>
      <c r="L34" t="e">
        <f>IF(#REF!="ALL",IFERROR(INDEX(DATABASE!$C$2:$C$32,ROWS($L$3:L34)),""),IFERROR(INDEX($G$2:$G$32,MATCH(#REF!&amp;"|"&amp;ROWS($L$3:L34),$E$2:$E$32,0)),""))</f>
        <v>#REF!</v>
      </c>
    </row>
    <row r="35" spans="3:12" ht="16.5" x14ac:dyDescent="0.3">
      <c r="C35"/>
      <c r="E35"/>
      <c r="F35"/>
      <c r="G35"/>
      <c r="H35"/>
      <c r="I35"/>
      <c r="J35"/>
      <c r="L35" t="e">
        <f>IF(#REF!="ALL",IFERROR(INDEX(DATABASE!$C$2:$C$32,ROWS($L$3:L35)),""),IFERROR(INDEX($G$2:$G$32,MATCH(#REF!&amp;"|"&amp;ROWS($L$3:L35),$E$2:$E$32,0)),""))</f>
        <v>#REF!</v>
      </c>
    </row>
    <row r="36" spans="3:12" ht="16.5" x14ac:dyDescent="0.3">
      <c r="C36"/>
      <c r="E36"/>
      <c r="F36"/>
      <c r="G36"/>
      <c r="H36"/>
      <c r="I36"/>
      <c r="J36"/>
      <c r="L36" t="e">
        <f>IF(#REF!="ALL",IFERROR(INDEX(DATABASE!$C$2:$C$32,ROWS($L$3:L36)),""),IFERROR(INDEX($G$2:$G$32,MATCH(#REF!&amp;"|"&amp;ROWS($L$3:L36),$E$2:$E$32,0)),""))</f>
        <v>#REF!</v>
      </c>
    </row>
    <row r="37" spans="3:12" ht="16.5" x14ac:dyDescent="0.3">
      <c r="C37"/>
      <c r="E37"/>
      <c r="F37"/>
      <c r="G37"/>
      <c r="H37"/>
      <c r="I37"/>
      <c r="J37"/>
      <c r="L37" t="e">
        <f>IF(#REF!="ALL",IFERROR(INDEX(DATABASE!$C$2:$C$32,ROWS($L$3:L37)),""),IFERROR(INDEX($G$2:$G$32,MATCH(#REF!&amp;"|"&amp;ROWS($L$3:L37),$E$2:$E$32,0)),""))</f>
        <v>#REF!</v>
      </c>
    </row>
    <row r="38" spans="3:12" ht="16.5" x14ac:dyDescent="0.3">
      <c r="C38"/>
      <c r="E38"/>
      <c r="F38"/>
      <c r="G38"/>
      <c r="H38"/>
      <c r="I38"/>
      <c r="J38"/>
      <c r="L38" t="e">
        <f>IF(#REF!="ALL",IFERROR(INDEX(DATABASE!$C$2:$C$32,ROWS($L$3:L38)),""),IFERROR(INDEX($G$2:$G$32,MATCH(#REF!&amp;"|"&amp;ROWS($L$3:L38),$E$2:$E$32,0)),""))</f>
        <v>#REF!</v>
      </c>
    </row>
    <row r="39" spans="3:12" ht="16.5" x14ac:dyDescent="0.3">
      <c r="C39"/>
      <c r="E39"/>
      <c r="F39"/>
      <c r="G39"/>
      <c r="H39"/>
      <c r="I39"/>
      <c r="J39"/>
      <c r="L39" t="e">
        <f>IF(#REF!="ALL",IFERROR(INDEX(DATABASE!$C$2:$C$32,ROWS($L$3:L39)),""),IFERROR(INDEX($G$2:$G$32,MATCH(#REF!&amp;"|"&amp;ROWS($L$3:L39),$E$2:$E$32,0)),""))</f>
        <v>#REF!</v>
      </c>
    </row>
    <row r="40" spans="3:12" ht="16.5" x14ac:dyDescent="0.3">
      <c r="C40"/>
      <c r="E40"/>
      <c r="F40"/>
      <c r="G40"/>
      <c r="H40"/>
      <c r="I40"/>
      <c r="J40"/>
      <c r="L40" t="e">
        <f>IF(#REF!="ALL",IFERROR(INDEX(DATABASE!$C$2:$C$32,ROWS($L$3:L40)),""),IFERROR(INDEX($G$2:$G$32,MATCH(#REF!&amp;"|"&amp;ROWS($L$3:L40),$E$2:$E$32,0)),""))</f>
        <v>#REF!</v>
      </c>
    </row>
    <row r="41" spans="3:12" ht="16.5" x14ac:dyDescent="0.3">
      <c r="C41"/>
      <c r="E41"/>
      <c r="F41"/>
      <c r="G41"/>
      <c r="H41"/>
      <c r="I41"/>
      <c r="J41"/>
      <c r="L41" t="e">
        <f>IF(#REF!="ALL",IFERROR(INDEX(DATABASE!$C$2:$C$32,ROWS($L$3:L41)),""),IFERROR(INDEX($G$2:$G$32,MATCH(#REF!&amp;"|"&amp;ROWS($L$3:L41),$E$2:$E$32,0)),""))</f>
        <v>#REF!</v>
      </c>
    </row>
    <row r="42" spans="3:12" ht="16.5" x14ac:dyDescent="0.3">
      <c r="C42"/>
      <c r="E42"/>
      <c r="F42"/>
      <c r="G42"/>
      <c r="H42"/>
      <c r="I42"/>
      <c r="J42"/>
      <c r="L42" t="e">
        <f>IF(#REF!="ALL",IFERROR(INDEX(DATABASE!$C$2:$C$32,ROWS($L$3:L42)),""),IFERROR(INDEX($G$2:$G$32,MATCH(#REF!&amp;"|"&amp;ROWS($L$3:L42),$E$2:$E$32,0)),""))</f>
        <v>#REF!</v>
      </c>
    </row>
    <row r="43" spans="3:12" ht="16.5" x14ac:dyDescent="0.3">
      <c r="C43"/>
      <c r="E43"/>
      <c r="F43"/>
      <c r="G43"/>
      <c r="H43"/>
      <c r="I43"/>
      <c r="J43"/>
      <c r="L43" t="e">
        <f>IF(#REF!="ALL",IFERROR(INDEX(DATABASE!$C$2:$C$32,ROWS($L$3:L43)),""),IFERROR(INDEX($G$2:$G$32,MATCH(#REF!&amp;"|"&amp;ROWS($L$3:L43),$E$2:$E$32,0)),""))</f>
        <v>#REF!</v>
      </c>
    </row>
    <row r="44" spans="3:12" ht="16.5" x14ac:dyDescent="0.3">
      <c r="C44"/>
      <c r="E44"/>
      <c r="F44"/>
      <c r="G44"/>
      <c r="H44"/>
      <c r="I44"/>
      <c r="J44"/>
      <c r="L44" t="e">
        <f>IF(#REF!="ALL",IFERROR(INDEX(DATABASE!$C$2:$C$32,ROWS($L$3:L44)),""),IFERROR(INDEX($G$2:$G$32,MATCH(#REF!&amp;"|"&amp;ROWS($L$3:L44),$E$2:$E$32,0)),""))</f>
        <v>#REF!</v>
      </c>
    </row>
    <row r="45" spans="3:12" ht="16.5" x14ac:dyDescent="0.3">
      <c r="C45"/>
      <c r="E45"/>
      <c r="F45"/>
      <c r="G45"/>
      <c r="H45"/>
      <c r="I45"/>
      <c r="J45"/>
    </row>
    <row r="46" spans="3:12" ht="16.5" x14ac:dyDescent="0.3">
      <c r="C46"/>
      <c r="E46"/>
      <c r="F46"/>
      <c r="G46"/>
      <c r="H46"/>
      <c r="I46"/>
      <c r="J46"/>
    </row>
    <row r="47" spans="3:12" ht="16.5" x14ac:dyDescent="0.3">
      <c r="C47"/>
      <c r="E47"/>
      <c r="F47"/>
      <c r="G47"/>
      <c r="H47"/>
      <c r="I47"/>
      <c r="J47"/>
    </row>
    <row r="48" spans="3:12" ht="16.5" x14ac:dyDescent="0.3">
      <c r="C48"/>
      <c r="E48"/>
      <c r="F48"/>
      <c r="G48"/>
      <c r="H48"/>
      <c r="I48"/>
      <c r="J48"/>
    </row>
    <row r="49" spans="3:10" ht="16.5" x14ac:dyDescent="0.3">
      <c r="C49"/>
      <c r="E49"/>
      <c r="F49"/>
      <c r="G49"/>
      <c r="H49"/>
      <c r="I49"/>
      <c r="J49"/>
    </row>
    <row r="50" spans="3:10" ht="16.5" x14ac:dyDescent="0.3">
      <c r="C50"/>
      <c r="E50"/>
      <c r="F50"/>
      <c r="G50"/>
      <c r="H50"/>
      <c r="I50"/>
      <c r="J50"/>
    </row>
    <row r="51" spans="3:10" ht="16.5" x14ac:dyDescent="0.3">
      <c r="C51"/>
      <c r="E51"/>
      <c r="F51"/>
      <c r="G51"/>
      <c r="H51"/>
      <c r="I51"/>
      <c r="J51"/>
    </row>
    <row r="52" spans="3:10" ht="16.5" x14ac:dyDescent="0.3">
      <c r="C52"/>
      <c r="E52"/>
      <c r="F52"/>
      <c r="G52"/>
      <c r="H52"/>
      <c r="I52"/>
      <c r="J52"/>
    </row>
    <row r="53" spans="3:10" ht="16.5" x14ac:dyDescent="0.3">
      <c r="C53"/>
      <c r="E53"/>
      <c r="F53"/>
      <c r="G53"/>
      <c r="H53"/>
      <c r="I53"/>
      <c r="J53"/>
    </row>
    <row r="54" spans="3:10" ht="16.5" x14ac:dyDescent="0.3">
      <c r="C54"/>
      <c r="E54"/>
      <c r="F54"/>
      <c r="G54"/>
      <c r="H54"/>
      <c r="I54"/>
      <c r="J54"/>
    </row>
    <row r="55" spans="3:10" ht="16.5" x14ac:dyDescent="0.3">
      <c r="C55"/>
      <c r="E55"/>
      <c r="F55"/>
      <c r="G55"/>
      <c r="H55"/>
      <c r="I55"/>
      <c r="J55"/>
    </row>
    <row r="56" spans="3:10" ht="16.5" x14ac:dyDescent="0.3">
      <c r="C56"/>
      <c r="E56"/>
      <c r="F56"/>
      <c r="G56"/>
      <c r="H56"/>
      <c r="I56"/>
      <c r="J56"/>
    </row>
    <row r="57" spans="3:10" ht="16.5" x14ac:dyDescent="0.3">
      <c r="C57"/>
      <c r="E57"/>
      <c r="F57"/>
      <c r="G57"/>
      <c r="H57"/>
      <c r="I57"/>
      <c r="J57"/>
    </row>
    <row r="58" spans="3:10" ht="16.5" x14ac:dyDescent="0.3">
      <c r="C58"/>
      <c r="E58"/>
      <c r="F58"/>
      <c r="G58"/>
      <c r="H58"/>
      <c r="I58"/>
      <c r="J58"/>
    </row>
    <row r="59" spans="3:10" ht="16.5" x14ac:dyDescent="0.3">
      <c r="C59"/>
      <c r="E59"/>
      <c r="F59"/>
      <c r="G59"/>
      <c r="H59"/>
      <c r="I59"/>
      <c r="J59"/>
    </row>
    <row r="60" spans="3:10" ht="16.5" x14ac:dyDescent="0.3">
      <c r="C60"/>
      <c r="E60"/>
      <c r="F60"/>
      <c r="G60"/>
      <c r="H60"/>
      <c r="I60"/>
      <c r="J60"/>
    </row>
    <row r="61" spans="3:10" ht="16.5" x14ac:dyDescent="0.3">
      <c r="C61"/>
      <c r="E61"/>
      <c r="F61"/>
      <c r="G61"/>
      <c r="H61"/>
      <c r="I61"/>
      <c r="J61"/>
    </row>
    <row r="62" spans="3:10" ht="16.5" x14ac:dyDescent="0.3">
      <c r="C62"/>
      <c r="E62"/>
      <c r="F62"/>
      <c r="G62"/>
      <c r="H62"/>
      <c r="I62"/>
      <c r="J62"/>
    </row>
    <row r="63" spans="3:10" ht="16.5" x14ac:dyDescent="0.3">
      <c r="C63"/>
      <c r="E63"/>
      <c r="F63"/>
      <c r="G63"/>
      <c r="H63"/>
      <c r="I63"/>
      <c r="J63"/>
    </row>
    <row r="64" spans="3:10" ht="16.5" x14ac:dyDescent="0.3">
      <c r="C64"/>
      <c r="E64"/>
      <c r="F64"/>
      <c r="G64"/>
      <c r="H64"/>
      <c r="I64"/>
      <c r="J64"/>
    </row>
    <row r="65" spans="3:10" ht="16.5" x14ac:dyDescent="0.3">
      <c r="C65"/>
      <c r="E65"/>
      <c r="F65"/>
      <c r="G65"/>
      <c r="H65"/>
      <c r="I65"/>
      <c r="J65"/>
    </row>
    <row r="66" spans="3:10" ht="16.5" x14ac:dyDescent="0.3">
      <c r="C66"/>
      <c r="E66"/>
      <c r="F66"/>
      <c r="G66"/>
      <c r="H66"/>
      <c r="I66"/>
      <c r="J66"/>
    </row>
    <row r="67" spans="3:10" ht="16.5" x14ac:dyDescent="0.3">
      <c r="C67"/>
      <c r="E67"/>
      <c r="F67"/>
      <c r="G67"/>
      <c r="H67"/>
      <c r="I67"/>
      <c r="J67"/>
    </row>
    <row r="68" spans="3:10" ht="16.5" x14ac:dyDescent="0.3">
      <c r="C68"/>
      <c r="E68"/>
      <c r="F68"/>
      <c r="G68"/>
      <c r="H68"/>
      <c r="I68"/>
      <c r="J68"/>
    </row>
    <row r="69" spans="3:10" ht="16.5" x14ac:dyDescent="0.3">
      <c r="C69"/>
      <c r="E69"/>
      <c r="F69"/>
      <c r="G69"/>
      <c r="H69"/>
      <c r="I69"/>
      <c r="J69"/>
    </row>
    <row r="70" spans="3:10" ht="16.5" x14ac:dyDescent="0.3">
      <c r="C70"/>
      <c r="E70"/>
      <c r="F70"/>
      <c r="G70"/>
      <c r="H70"/>
      <c r="I70"/>
      <c r="J70"/>
    </row>
    <row r="71" spans="3:10" ht="16.5" x14ac:dyDescent="0.3">
      <c r="C71"/>
      <c r="E71"/>
      <c r="F71"/>
      <c r="G71"/>
      <c r="H71"/>
      <c r="I71"/>
      <c r="J71"/>
    </row>
    <row r="72" spans="3:10" ht="16.5" x14ac:dyDescent="0.3">
      <c r="C72"/>
      <c r="E72"/>
      <c r="F72"/>
      <c r="G72"/>
      <c r="H72"/>
      <c r="I72"/>
      <c r="J72"/>
    </row>
    <row r="73" spans="3:10" ht="16.5" x14ac:dyDescent="0.3">
      <c r="C73"/>
      <c r="E73"/>
      <c r="F73"/>
      <c r="G73"/>
      <c r="H73"/>
      <c r="I73"/>
      <c r="J73"/>
    </row>
    <row r="74" spans="3:10" ht="16.5" x14ac:dyDescent="0.3">
      <c r="C74"/>
      <c r="E74"/>
      <c r="F74"/>
      <c r="G74"/>
      <c r="H74"/>
      <c r="I74"/>
      <c r="J74"/>
    </row>
    <row r="75" spans="3:10" ht="16.5" x14ac:dyDescent="0.3">
      <c r="C75"/>
      <c r="E75"/>
      <c r="F75"/>
      <c r="G75"/>
      <c r="H75"/>
      <c r="I75"/>
      <c r="J75"/>
    </row>
    <row r="76" spans="3:10" ht="16.5" x14ac:dyDescent="0.3">
      <c r="C76"/>
      <c r="E76"/>
      <c r="F76"/>
      <c r="G76"/>
      <c r="H76"/>
      <c r="I76"/>
      <c r="J76"/>
    </row>
    <row r="77" spans="3:10" ht="16.5" x14ac:dyDescent="0.3">
      <c r="C77"/>
      <c r="E77"/>
      <c r="F77"/>
      <c r="G77"/>
      <c r="H77"/>
      <c r="I77"/>
      <c r="J77"/>
    </row>
    <row r="78" spans="3:10" ht="16.5" x14ac:dyDescent="0.3">
      <c r="C78"/>
      <c r="E78"/>
      <c r="F78"/>
      <c r="G78"/>
      <c r="H78"/>
      <c r="I78"/>
      <c r="J78"/>
    </row>
    <row r="79" spans="3:10" ht="16.5" x14ac:dyDescent="0.3">
      <c r="C79"/>
      <c r="E79"/>
      <c r="F79"/>
      <c r="G79"/>
      <c r="H79"/>
      <c r="I79"/>
      <c r="J7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INDEX LIST</vt:lpstr>
      <vt:lpstr>DATABASE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jhyoon</dc:creator>
  <cp:keywords/>
  <dc:description/>
  <cp:lastModifiedBy>Yoon, Jeong-ho</cp:lastModifiedBy>
  <cp:revision/>
  <dcterms:created xsi:type="dcterms:W3CDTF">2026-06-08T00:30:49Z</dcterms:created>
  <dcterms:modified xsi:type="dcterms:W3CDTF">2026-07-03T05:58:53Z</dcterms:modified>
  <cp:category/>
  <cp:contentStatus/>
</cp:coreProperties>
</file>