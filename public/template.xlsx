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현재_통합_문서"/>
  <sheets>
    <sheet name="INDEX LIST" sheetId="1" r:id="rId1"/>
    <sheet name="DATABASE" sheetId="2" r:id="rId2" state="hidden"/>
    <sheet name="LISTS" sheetId="3" r:id="rId3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3">
    <xf numFmtId="0" fontId="0" fillId="0" borderId="0" xfId="0"/>
    <xf numFmtId="0" fontId="1" fillId="1" borderId="1" xfId="0" applyFont="1" applyFill="1" applyBorder="1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2"/>
  <sheetViews>
    <sheetView workbookViewId="0" rightToLeft="0"/>
  </sheetViews>
  <sheetData>
    <row r="1">
      <c r="A1" s="2" t="str">
        <v>Category</v>
      </c>
      <c r="B1" s="2" t="str">
        <v>Current Term</v>
      </c>
      <c r="C1" s="2" t="str">
        <v>Current Variants</v>
      </c>
      <c r="D1" s="2" t="str">
        <v>Standard EN</v>
      </c>
      <c r="E1" s="2" t="str">
        <v>Standard EN Short</v>
      </c>
      <c r="F1" s="2" t="str">
        <v>Korean Meaning</v>
      </c>
      <c r="G1" s="2" t="str">
        <v>Note</v>
      </c>
      <c r="H1" s="2" t="str">
        <v>Card Row</v>
      </c>
      <c r="I1" s="2" t="str">
        <v>Search Name</v>
      </c>
      <c r="J1" s="2" t="str">
        <v>Use In</v>
      </c>
      <c r="K1" s="2" t="str">
        <v>Use Out</v>
      </c>
      <c r="L1" s="2" t="str">
        <v>Image</v>
      </c>
    </row>
  </sheetData>
  <pageMargins left="0.7" right="0.7" top="0.75" bottom="0.75" header="0.3" footer="0.3"/>
  <ignoredErrors>
    <ignoredError numberStoredAsText="1" sqref="A1:L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 rightToLeft="0"/>
  </sheetViews>
  <sheetData>
    <row r="1">
      <c r="A1" s="2" t="str">
        <v>ID</v>
      </c>
      <c r="B1" s="2" t="str">
        <v>Category</v>
      </c>
      <c r="C1" s="2" t="str">
        <v>Current Term</v>
      </c>
      <c r="D1" s="2" t="str">
        <v>Standard EN</v>
      </c>
      <c r="E1" s="2" t="str">
        <v>Korean Meaning</v>
      </c>
      <c r="F1" s="2" t="str">
        <v>Notes / Source</v>
      </c>
      <c r="G1" s="2" t="str">
        <v>Card Link</v>
      </c>
      <c r="H1" s="2" t="str">
        <v>Card Row</v>
      </c>
    </row>
    <row r="2" xml:space="preserve">
      <c r="A2" s="2" t="str">
        <v>1</v>
      </c>
      <c r="B2" s="2" t="str">
        <v>EDGE</v>
      </c>
      <c r="C2" s="2" t="str">
        <v>가이루빠</v>
      </c>
      <c r="D2" s="2" t="str" xml:space="preserve">
        <v xml:space="preserve">Cover Stitch_x000d_
(3-needle 5-thread Cover Stitch)</v>
      </c>
      <c r="E2" s="2" t="str" xml:space="preserve">
        <v xml:space="preserve">커버 스티치_x000d_
(봉제 마감용)</v>
      </c>
      <c r="G2" s="2" t="str">
        <f>HYPERLINK("#'TERM CARDS'!A5","View card")</f>
        <v>View card</v>
      </c>
      <c r="H2" s="2">
        <v>5</v>
      </c>
    </row>
    <row r="3" xml:space="preserve">
      <c r="A3" s="2" t="str">
        <v>2</v>
      </c>
      <c r="B3" s="2" t="str">
        <v>EDGE</v>
      </c>
      <c r="C3" s="2" t="str">
        <v>오드람쁘(오드람프)</v>
      </c>
      <c r="D3" s="2" t="str" xml:space="preserve">
        <v xml:space="preserve">4-Needle 6-Thread Cover Stitch_x000d_
(Wide Cover Stitch)</v>
      </c>
      <c r="E3" s="2" t="str" xml:space="preserve">
        <v xml:space="preserve">4바늘 6실 커버 스티치_x000d_
(와이드 커버)</v>
      </c>
      <c r="G3" s="2" t="str">
        <f>HYPERLINK("#'TERM CARDS'!A27","View card")</f>
        <v>View card</v>
      </c>
      <c r="H3" s="2">
        <v>27</v>
      </c>
    </row>
    <row r="4" xml:space="preserve">
      <c r="A4" s="2" t="str">
        <v>3</v>
      </c>
      <c r="B4" s="2" t="str">
        <v>CLOSURE</v>
      </c>
      <c r="C4" s="2" t="str">
        <v>나나인찌</v>
      </c>
      <c r="D4" s="2" t="str" xml:space="preserve">
        <v xml:space="preserve">Buttonhole_x000d_
(Keyhole / Straight Buttonhole)</v>
      </c>
      <c r="E4" s="2" t="str">
        <v>단춧구멍</v>
      </c>
      <c r="G4" s="2" t="str">
        <f>HYPERLINK("#'TERM CARDS'!A71","View card")</f>
        <v>View card</v>
      </c>
      <c r="H4" s="2">
        <v>71</v>
      </c>
    </row>
    <row r="5" xml:space="preserve">
      <c r="A5" s="2" t="str">
        <v>4</v>
      </c>
      <c r="B5" s="2" t="str">
        <v>EDGE</v>
      </c>
      <c r="C5" s="2" t="str">
        <v>하마고리</v>
      </c>
      <c r="D5" s="2" t="str" xml:space="preserve">
        <v xml:space="preserve">Scallop Stitch_x000d_
(Shell / Scallop Edge Finish)</v>
      </c>
      <c r="E5" s="2" t="str" xml:space="preserve">
        <v xml:space="preserve">스캘럽 스티치_x000d_
(조개 모양 가장자리)</v>
      </c>
      <c r="G5" s="2" t="str">
        <f>HYPERLINK("#'TERM CARDS'!A93","View card")</f>
        <v>View card</v>
      </c>
      <c r="H5" s="2">
        <v>93</v>
      </c>
    </row>
    <row r="6" xml:space="preserve">
      <c r="A6" s="2" t="str">
        <v>5</v>
      </c>
      <c r="B6" s="2" t="str">
        <v>EDGE</v>
      </c>
      <c r="C6" s="2" t="str">
        <v>수소(스쿠이)</v>
      </c>
      <c r="D6" s="2" t="str" xml:space="preserve">
        <v xml:space="preserve">Blind Stitch_x000d_
(Invisible Hem Stitch)</v>
      </c>
      <c r="E6" s="2" t="str" xml:space="preserve">
        <v xml:space="preserve">블라인드 스티치_x000d_
(안 보이는 단 처리)</v>
      </c>
      <c r="G6" s="2" t="str">
        <f>HYPERLINK("#'TERM CARDS'!A115","View card")</f>
        <v>View card</v>
      </c>
      <c r="H6" s="2">
        <v>115</v>
      </c>
    </row>
    <row r="7" xml:space="preserve">
      <c r="A7" s="2" t="str">
        <v>6</v>
      </c>
      <c r="B7" s="2" t="str">
        <v>PART</v>
      </c>
      <c r="C7" s="2" t="str">
        <v>에리</v>
      </c>
      <c r="D7" s="2" t="str" xml:space="preserve">
        <v xml:space="preserve">Collar_x000d_
(Neckline Collar / Collar Stand)</v>
      </c>
      <c r="E7" s="2" t="str">
        <v>칼라 / 깃</v>
      </c>
      <c r="G7" s="2" t="str">
        <f>HYPERLINK("#'TERM CARDS'!A181","View card")</f>
        <v>View card</v>
      </c>
      <c r="H7" s="2">
        <v>181</v>
      </c>
    </row>
    <row r="8" xml:space="preserve">
      <c r="A8" s="2" t="str">
        <v>7</v>
      </c>
      <c r="B8" s="2" t="str">
        <v>JOIN</v>
      </c>
      <c r="C8" s="2" t="str">
        <v>와끼</v>
      </c>
      <c r="D8" s="2" t="str" xml:space="preserve">
        <v xml:space="preserve">Side Seam_x000d_
(Lateral Body Seam)</v>
      </c>
      <c r="E8" s="2" t="str">
        <v>옆선 봉제 / 사이드 솔기</v>
      </c>
      <c r="G8" s="2" t="str">
        <f>HYPERLINK("#'TERM CARDS'!A203","View card")</f>
        <v>View card</v>
      </c>
      <c r="H8" s="2">
        <v>203</v>
      </c>
    </row>
    <row r="9" xml:space="preserve">
      <c r="A9" s="2" t="str">
        <v>8</v>
      </c>
      <c r="B9" s="2" t="str">
        <v>PART</v>
      </c>
      <c r="C9" s="2" t="str">
        <v>랍빠</v>
      </c>
      <c r="D9" s="2" t="str" xml:space="preserve">
        <v xml:space="preserve">Binder_x000d_
(Bias Binder / Tape Binder / Binder Attachment)</v>
      </c>
      <c r="E9" s="2" t="str">
        <v>바인더 / 바이어스 테이프 처리</v>
      </c>
      <c r="G9" s="2" t="str">
        <f>HYPERLINK("#'TERM CARDS'!A247","View card")</f>
        <v>View card</v>
      </c>
      <c r="H9" s="2">
        <v>247</v>
      </c>
    </row>
    <row r="10" xml:space="preserve">
      <c r="A10" s="2" t="str">
        <v>9</v>
      </c>
      <c r="B10" s="2" t="str">
        <v>TRIM</v>
      </c>
      <c r="C10" s="2" t="str">
        <v>삥줄</v>
      </c>
      <c r="D10" s="2" t="str" xml:space="preserve">
        <v xml:space="preserve">Piping_x000d_
(Welt Piping / Cord Piping)</v>
      </c>
      <c r="E10" s="2" t="str">
        <v>파이핑 / 코드 장식줄</v>
      </c>
      <c r="G10" s="2" t="str">
        <f>HYPERLINK("#'TERM CARDS'!A269","View card")</f>
        <v>View card</v>
      </c>
      <c r="H10" s="2">
        <v>269</v>
      </c>
    </row>
    <row r="11">
      <c r="A11" s="2" t="str">
        <v>10</v>
      </c>
      <c r="B11" s="2" t="str">
        <v>CLOSURE</v>
      </c>
      <c r="C11" s="2" t="str">
        <v>단추달기 / 단춧구멍 / 바텍</v>
      </c>
      <c r="D11" s="2" t="str">
        <v>Button Sewing / Buttonhole / Bartack</v>
      </c>
      <c r="E11" s="2" t="str">
        <v>단추 부착 / 단춧구멍 가공 / 보강 박음</v>
      </c>
      <c r="G11" s="2" t="str">
        <f>HYPERLINK("#'TERM CARDS'!A291","View card")</f>
        <v>View card</v>
      </c>
      <c r="H11" s="2">
        <v>291</v>
      </c>
    </row>
    <row r="12">
      <c r="A12" s="2" t="str">
        <v>11</v>
      </c>
      <c r="B12" s="2" t="str">
        <v>STITCH</v>
      </c>
      <c r="C12" s="2" t="str">
        <v>본봉</v>
      </c>
      <c r="D12" s="2" t="str">
        <v>Lockstitch</v>
      </c>
      <c r="E12" s="2" t="str">
        <v>윗실과 밑실이 맞물리는 기본 봉제</v>
      </c>
      <c r="G12" s="2" t="str">
        <f>HYPERLINK("#'TERM CARDS'!A313","View card")</f>
        <v>View card</v>
      </c>
      <c r="H12" s="2">
        <v>313</v>
      </c>
    </row>
    <row r="13">
      <c r="A13" s="2" t="str">
        <v>12</v>
      </c>
      <c r="B13" s="2" t="str">
        <v>STITCH</v>
      </c>
      <c r="C13" s="2" t="str">
        <v>외줄 삼봉</v>
      </c>
      <c r="D13" s="2" t="str">
        <v>Single-Needle Chain Stitch</v>
      </c>
      <c r="E13" s="2" t="str">
        <v>바늘 1개로 형성하는 체인 스티치</v>
      </c>
      <c r="G13" s="2" t="str">
        <f>HYPERLINK("#'TERM CARDS'!A335","View card")</f>
        <v>View card</v>
      </c>
      <c r="H13" s="2">
        <v>335</v>
      </c>
    </row>
    <row r="14">
      <c r="A14" s="2" t="str">
        <v>13</v>
      </c>
      <c r="B14" s="2" t="str">
        <v>STITCH</v>
      </c>
      <c r="C14" s="2" t="str">
        <v>두줄 삼봉</v>
      </c>
      <c r="D14" s="2" t="str">
        <v>2-Needle Bottom Cover Stitch</v>
      </c>
      <c r="E14" s="2" t="str">
        <v>바늘 2개로 만드는 밑면 커버 스티치</v>
      </c>
      <c r="G14" s="2" t="str">
        <f>HYPERLINK("#'TERM CARDS'!A357","View card")</f>
        <v>View card</v>
      </c>
      <c r="H14" s="2">
        <v>357</v>
      </c>
    </row>
    <row r="15">
      <c r="A15" s="2" t="str">
        <v>14</v>
      </c>
      <c r="B15" s="2" t="str">
        <v>STITCH</v>
      </c>
      <c r="C15" s="2" t="str">
        <v>세줄삼봉</v>
      </c>
      <c r="D15" s="2" t="str">
        <v>3-Needle Bottom Cover Stitch</v>
      </c>
      <c r="E15" s="2" t="str">
        <v>바늘 3개로 만드는 밑면 커버 스티치</v>
      </c>
      <c r="G15" s="2" t="str">
        <f>HYPERLINK("#'TERM CARDS'!A379","View card")</f>
        <v>View card</v>
      </c>
      <c r="H15" s="2">
        <v>379</v>
      </c>
    </row>
    <row r="16" xml:space="preserve">
      <c r="A16" s="2" t="str">
        <v>15</v>
      </c>
      <c r="B16" s="2" t="str">
        <v>STITCH</v>
      </c>
      <c r="C16" s="2" t="str">
        <v>지그재그 스티치 / 1단 지그재그</v>
      </c>
      <c r="D16" s="2" t="str" xml:space="preserve">
        <v xml:space="preserve">Zigzag Stitch_x000d_
(Single-Step Zigzag)</v>
      </c>
      <c r="E16" s="2" t="str">
        <v>좌우로 교차하는 지그재그 봉제</v>
      </c>
      <c r="G16" s="2" t="str">
        <f>HYPERLINK("#'TERM CARDS'!A467","View card")</f>
        <v>View card</v>
      </c>
      <c r="H16" s="2">
        <v>467</v>
      </c>
    </row>
    <row r="17">
      <c r="A17" s="2" t="str">
        <v>16</v>
      </c>
      <c r="B17" s="2" t="str">
        <v>EDGE</v>
      </c>
      <c r="C17" s="2" t="str">
        <v>휩 블랭크</v>
      </c>
      <c r="D17" s="2" t="str">
        <v>Whip / Blanket Stitch</v>
      </c>
      <c r="E17" s="2" t="str">
        <v>가장자리를 감싸는 블랭킷 마감 스티치</v>
      </c>
      <c r="G17" s="2" t="str">
        <f>HYPERLINK("#'TERM CARDS'!A511","View card")</f>
        <v>View card</v>
      </c>
      <c r="H17" s="2">
        <v>511</v>
      </c>
    </row>
    <row r="18">
      <c r="A18" s="2" t="str">
        <v>17</v>
      </c>
      <c r="B18" s="2" t="str">
        <v>EDGE</v>
      </c>
      <c r="C18" s="2" t="str">
        <v>피콧스티치</v>
      </c>
      <c r="D18" s="2" t="str">
        <v>Picot Stitch</v>
      </c>
      <c r="E18" s="2" t="str">
        <v>작은 고리 또는 점 장식의 가장자리 마감</v>
      </c>
      <c r="G18" s="2" t="str">
        <f>HYPERLINK("#'TERM CARDS'!A599","View card")</f>
        <v>View card</v>
      </c>
      <c r="H18" s="2">
        <v>599</v>
      </c>
    </row>
    <row r="19">
      <c r="A19" s="2" t="str">
        <v>18</v>
      </c>
      <c r="B19" s="2" t="str">
        <v>PART</v>
      </c>
      <c r="C19" s="2" t="str">
        <v>스파게티 스트랩</v>
      </c>
      <c r="D19" s="2" t="str">
        <v>Spaghetti Strap / Cord Tube</v>
      </c>
      <c r="E19" s="2" t="str">
        <v>얇은 튜브형 끈 또는 어깨끈</v>
      </c>
      <c r="G19" s="2" t="str">
        <f>HYPERLINK("#'TERM CARDS'!A621","View card")</f>
        <v>View card</v>
      </c>
      <c r="H19" s="2">
        <v>621</v>
      </c>
    </row>
    <row r="20" xml:space="preserve">
      <c r="A20" s="2" t="str">
        <v>19</v>
      </c>
      <c r="B20" s="2" t="str">
        <v>JOIN</v>
      </c>
      <c r="C20" s="2" t="str">
        <v>합봉</v>
      </c>
      <c r="D20" s="2" t="str" xml:space="preserve">
        <v xml:space="preserve">Joining Seam_x000d_
(Basic Seam Joining)</v>
      </c>
      <c r="E20" s="2" t="str" xml:space="preserve">
        <v xml:space="preserve">합봉 / 솔기 연결_x000d_
(원단을 서로 이어 봉제)</v>
      </c>
      <c r="G20" s="2" t="str">
        <f>HYPERLINK("#'TERM CARDS'!A643","View card")</f>
        <v>View card</v>
      </c>
      <c r="H20" s="2">
        <v>643</v>
      </c>
    </row>
    <row r="21" xml:space="preserve">
      <c r="A21" s="2" t="str">
        <v>20</v>
      </c>
      <c r="B21" s="2" t="str">
        <v>STITCH</v>
      </c>
      <c r="C21" s="2" t="str">
        <v>탑스티치</v>
      </c>
      <c r="D21" s="2" t="str" xml:space="preserve">
        <v xml:space="preserve">Topstitch_x000d_
(Visible Surface Stitch)</v>
      </c>
      <c r="E21" s="2" t="str" xml:space="preserve">
        <v xml:space="preserve">탑스티치 / 겉면 박음질_x000d_
(겉에서 보이는 장식·고정 스티치)</v>
      </c>
      <c r="G21" s="2" t="str">
        <f>HYPERLINK("#'TERM CARDS'!A687","View card")</f>
        <v>View card</v>
      </c>
      <c r="H21" s="2">
        <v>687</v>
      </c>
    </row>
    <row r="22" xml:space="preserve">
      <c r="A22" s="2" t="str">
        <v>21</v>
      </c>
      <c r="B22" s="2" t="str">
        <v>STITCH</v>
      </c>
      <c r="C22" s="2" t="str">
        <v>엣지스티치</v>
      </c>
      <c r="D22" s="2" t="str" xml:space="preserve">
        <v xml:space="preserve">Edge Stitch_x000d_
(Stitch Close to Edge)</v>
      </c>
      <c r="E22" s="2" t="str" xml:space="preserve">
        <v xml:space="preserve">엣지 스티치 / 가장자리 박음_x000d_
(단 가까이에 놓는 스티치)</v>
      </c>
      <c r="G22" s="2" t="str">
        <f>HYPERLINK("#'TERM CARDS'!A709","View card")</f>
        <v>View card</v>
      </c>
      <c r="H22" s="2">
        <v>709</v>
      </c>
    </row>
    <row r="23" xml:space="preserve">
      <c r="A23" s="2" t="str">
        <v>22</v>
      </c>
      <c r="B23" s="2" t="str">
        <v>STITCH</v>
      </c>
      <c r="C23" s="2" t="str">
        <v>2줄다꼬 / 3줄다꼬</v>
      </c>
      <c r="D23" s="2" t="str">
        <v>2-Row / 3-Row Chain Stitch</v>
      </c>
      <c r="E23" s="2" t="str" xml:space="preserve">
        <v xml:space="preserve">2줄·3줄 다꼬 / 체인 스티치_x000d_
(2줄 또는 3줄 체인 봉제)</v>
      </c>
      <c r="G23" s="2" t="str">
        <f>HYPERLINK("#'TERM CARDS'!A731","View card")</f>
        <v>View card</v>
      </c>
      <c r="H23" s="2">
        <v>731</v>
      </c>
    </row>
    <row r="24" xml:space="preserve">
      <c r="A24" s="2" t="str">
        <v>23</v>
      </c>
      <c r="B24" s="2" t="str">
        <v>STITCH</v>
      </c>
      <c r="C24" s="2" t="str">
        <v>갈라삼봉</v>
      </c>
      <c r="D24" s="2" t="str" xml:space="preserve">
        <v xml:space="preserve">Track Stitch_x000d_
(Split Cover Stitch)</v>
      </c>
      <c r="E24" s="2" t="str" xml:space="preserve">
        <v xml:space="preserve">갈라삼봉 / 트랙 스티치_x000d_
(절개 양쪽에 놓는 커버 스티치)</v>
      </c>
      <c r="G24" s="2" t="str">
        <f>HYPERLINK("#'TERM CARDS'!A753","View card")</f>
        <v>View card</v>
      </c>
      <c r="H24" s="2">
        <v>753</v>
      </c>
    </row>
    <row r="25" xml:space="preserve">
      <c r="A25" s="2" t="str">
        <v>24</v>
      </c>
      <c r="B25" s="2" t="str">
        <v>EDGE</v>
      </c>
      <c r="C25" s="2" t="str">
        <v>메로우 / 레터스엣지</v>
      </c>
      <c r="D25" s="2" t="str">
        <v>Merrow / Lettuce Edge</v>
      </c>
      <c r="E25" s="2" t="str" xml:space="preserve">
        <v xml:space="preserve">메로우 / 레터스 에지_x000d_
(물결 모양 가장자리 마감)</v>
      </c>
      <c r="G25" s="2" t="str">
        <f>HYPERLINK("#'TERM CARDS'!A775","View card")</f>
        <v>View card</v>
      </c>
      <c r="H25" s="2">
        <v>775</v>
      </c>
    </row>
    <row r="26" xml:space="preserve">
      <c r="A26" s="2" t="str">
        <v>25</v>
      </c>
      <c r="B26" s="2" t="str">
        <v>EDGE</v>
      </c>
      <c r="C26" s="2" t="str">
        <v>로우엣지</v>
      </c>
      <c r="D26" s="2" t="str" xml:space="preserve">
        <v xml:space="preserve">Raw Edge_x000d_
(Unfinished Cut Edge)</v>
      </c>
      <c r="E26" s="2" t="str" xml:space="preserve">
        <v xml:space="preserve">로우 에지 / 미완성 단_x000d_
(자른 가장자리를 그대로 둔 마감)</v>
      </c>
      <c r="G26" s="2" t="str">
        <f>HYPERLINK("#'TERM CARDS'!A797","View card")</f>
        <v>View card</v>
      </c>
      <c r="H26" s="2">
        <v>797</v>
      </c>
    </row>
    <row r="27" xml:space="preserve">
      <c r="A27" s="2" t="str">
        <v>26</v>
      </c>
      <c r="B27" s="2" t="str">
        <v>SHAPE</v>
      </c>
      <c r="C27" s="2" t="str">
        <v>셔링</v>
      </c>
      <c r="D27" s="2" t="str" xml:space="preserve">
        <v xml:space="preserve">Shirring_x000d_
(Gathered Stitch Rows)</v>
      </c>
      <c r="E27" s="2" t="str" xml:space="preserve">
        <v xml:space="preserve">셔링_x000d_
(여러 줄 스티치로 잡는 잔주름)</v>
      </c>
      <c r="G27" s="2" t="str">
        <f>HYPERLINK("#'TERM CARDS'!A819","View card")</f>
        <v>View card</v>
      </c>
      <c r="H27" s="2">
        <v>819</v>
      </c>
    </row>
    <row r="28" xml:space="preserve">
      <c r="A28" s="2" t="str">
        <v>27</v>
      </c>
      <c r="B28" s="2" t="str">
        <v>TRIM</v>
      </c>
      <c r="C28" s="2" t="str">
        <v>통통 D.C</v>
      </c>
      <c r="D28" s="2" t="str" xml:space="preserve">
        <v xml:space="preserve">Bulky Drawcord_x000d_
(Thick / Padded Drawcord)</v>
      </c>
      <c r="E28" s="2" t="str" xml:space="preserve">
        <v xml:space="preserve">통통한 드로코드_x000d_
(후드·허리밴드·넥라인 조임용 끈)</v>
      </c>
      <c r="G28" s="2" t="str">
        <f>HYPERLINK("#'TERM CARDS'!A841","View card")</f>
        <v>View card</v>
      </c>
      <c r="H28" s="2">
        <v>841</v>
      </c>
    </row>
    <row r="29" xml:space="preserve">
      <c r="A29" s="2" t="str">
        <v>28</v>
      </c>
      <c r="B29" s="2" t="str">
        <v>SHAPE</v>
      </c>
      <c r="C29" s="2" t="str">
        <v>씬칭</v>
      </c>
      <c r="D29" s="2" t="str" xml:space="preserve">
        <v xml:space="preserve">Cinching_x000d_
(Drawn-In Gathered Detail)</v>
      </c>
      <c r="E29" s="2" t="str" xml:space="preserve">
        <v xml:space="preserve">씬칭 / 조임 디테일_x000d_
(끈·밴드로 안쪽으로 조여 잡는 처리)</v>
      </c>
      <c r="G29" s="2" t="str">
        <f>HYPERLINK("#'TERM CARDS'!A863","View card")</f>
        <v>View card</v>
      </c>
      <c r="H29" s="2">
        <v>863</v>
      </c>
    </row>
    <row r="30" xml:space="preserve">
      <c r="A30" s="2" t="str">
        <v>29</v>
      </c>
      <c r="B30" s="2" t="str">
        <v>TRIM</v>
      </c>
      <c r="C30" s="2" t="str">
        <v>모빌롱</v>
      </c>
      <c r="D30" s="2" t="str" xml:space="preserve">
        <v xml:space="preserve">Mobilon Tape_x000d_
(Clear Elastic Stabilizer)</v>
      </c>
      <c r="E30" s="2" t="str" xml:space="preserve">
        <v xml:space="preserve">모빌론 테이프 / 투명 탄성 테이프_x000d_
(늘어짐 방지용 보강 부자재)</v>
      </c>
      <c r="G30" s="2" t="str">
        <f>HYPERLINK("#'TERM CARDS'!A885","View card")</f>
        <v>View card</v>
      </c>
      <c r="H30" s="2">
        <v>885</v>
      </c>
    </row>
    <row r="31" xml:space="preserve">
      <c r="A31" s="2" t="str">
        <v>30</v>
      </c>
      <c r="B31" s="2" t="str">
        <v>TRIM</v>
      </c>
      <c r="C31" s="2" t="str">
        <v>링슬</v>
      </c>
      <c r="D31" s="2" t="str" xml:space="preserve">
        <v xml:space="preserve">Strap Ring &amp; Slider_x000d_
(Lingerie Strap Adjuster Hardware)</v>
      </c>
      <c r="E31" s="2" t="str" xml:space="preserve">
        <v xml:space="preserve">스트랩 링 &amp; 슬라이더_x000d_
(얇은 스트랩의 연결 및 길이 조절용 부자재)</v>
      </c>
      <c r="G31" s="2" t="str">
        <f>HYPERLINK("#'TERM CARDS'!A907","View card")</f>
        <v>View card</v>
      </c>
      <c r="H31" s="2">
        <v>907</v>
      </c>
    </row>
    <row r="32" xml:space="preserve">
      <c r="A32" s="2" t="str">
        <v>31</v>
      </c>
      <c r="B32" s="2" t="str">
        <v>EDGE</v>
      </c>
      <c r="C32" s="2" t="str">
        <v>마이터</v>
      </c>
      <c r="D32" s="2" t="str" xml:space="preserve">
        <v xml:space="preserve">Mitered Corner_x000d_
(Mitered Binding Finish)</v>
      </c>
      <c r="E32" s="2" t="str" xml:space="preserve">
        <v xml:space="preserve">마이터 / 사선 접어 마감_x000d_
(바인딩·테이프 끝을 사선으로 접어 깔끔하게 처리하는 디테일)</v>
      </c>
      <c r="G32" s="2" t="str">
        <f>HYPERLINK("#'TERM CARDS'!A929","View card")</f>
        <v>View card</v>
      </c>
      <c r="H32" s="2">
        <v>929</v>
      </c>
    </row>
  </sheetData>
  <pageMargins left="0.7" right="0.7" top="0.75" bottom="0.75" header="0.3" footer="0.3"/>
  <ignoredErrors>
    <ignoredError numberStoredAsText="1" sqref="A1:H7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79"/>
  <sheetViews>
    <sheetView workbookViewId="0" rightToLeft="0"/>
  </sheetViews>
  <sheetData>
    <row r="1">
      <c r="A1" s="2" t="str">
        <v>Categories</v>
      </c>
      <c r="C1" s="2" t="str">
        <v>Terms</v>
      </c>
      <c r="E1" s="2" t="str">
        <v>Key</v>
      </c>
      <c r="F1" s="2" t="str">
        <v>Category</v>
      </c>
      <c r="G1" s="2" t="str">
        <v>Current Term</v>
      </c>
      <c r="H1" s="2" t="str">
        <v>Standard EN</v>
      </c>
      <c r="I1" s="2" t="str">
        <v>Korean Meaning</v>
      </c>
      <c r="J1" s="2" t="str">
        <v>Card Row</v>
      </c>
      <c r="L1" s="2" t="str">
        <v>ITEM OPTIONS BY CATEGORY</v>
      </c>
    </row>
    <row r="2" xml:space="preserve">
      <c r="A2" s="2" t="str">
        <v>ALL</v>
      </c>
      <c r="C2" s="2" t="str">
        <v>ALL ITEMS</v>
      </c>
      <c r="E2" s="2" t="str">
        <v>EDGE|1</v>
      </c>
      <c r="F2" s="2" t="str">
        <v>EDGE</v>
      </c>
      <c r="G2" s="2" t="str">
        <v>가이루빠</v>
      </c>
      <c r="H2" s="2" t="str" xml:space="preserve">
        <v xml:space="preserve">Cover Stitch_x000d_
(3-needle 5-thread Cover Stitch)</v>
      </c>
      <c r="I2" s="2" t="str" xml:space="preserve">
        <v xml:space="preserve">커버 스티치_x000d_
(봉제 마감용)</v>
      </c>
      <c r="J2" s="2">
        <v>5</v>
      </c>
      <c r="L2" s="2" t="str">
        <v>ALL ITEMS</v>
      </c>
    </row>
    <row r="3" xml:space="preserve">
      <c r="A3" s="2" t="str">
        <v>JOIN</v>
      </c>
      <c r="C3" s="2" t="str">
        <v>가이루빠</v>
      </c>
      <c r="E3" s="2" t="str">
        <v>EDGE|2</v>
      </c>
      <c r="F3" s="2" t="str">
        <v>EDGE</v>
      </c>
      <c r="G3" s="2" t="str">
        <v>오드람쁘(오드람프)</v>
      </c>
      <c r="H3" s="2" t="str" xml:space="preserve">
        <v xml:space="preserve">4-Needle 6-Thread Cover Stitch_x000d_
(Wide Cover Stitch)</v>
      </c>
      <c r="I3" s="2" t="str" xml:space="preserve">
        <v xml:space="preserve">4바늘 6실 커버 스티치_x000d_
(와이드 커버)</v>
      </c>
      <c r="J3" s="2">
        <v>27</v>
      </c>
      <c r="L3" s="2" t="e">
        <f>IF(#REF!="ALL",IFERROR(INDEX(DATABASE!$C$2:$C$32,ROWS($L$3:L3)),""),IFERROR(INDEX($G$2:$G$32,MATCH(#REF!&amp;"|"&amp;ROWS($L$3:L3),$E$2:$E$32,0)),""))</f>
        <v>#REF!</v>
      </c>
    </row>
    <row r="4" xml:space="preserve">
      <c r="A4" s="2" t="str">
        <v>EDGE</v>
      </c>
      <c r="C4" s="2" t="str">
        <v>오드람쁘(오드람프)</v>
      </c>
      <c r="E4" s="2" t="str">
        <v>CLOSURE|1</v>
      </c>
      <c r="F4" s="2" t="str">
        <v>CLOSURE</v>
      </c>
      <c r="G4" s="2" t="str">
        <v>나나인찌</v>
      </c>
      <c r="H4" s="2" t="str" xml:space="preserve">
        <v xml:space="preserve">Buttonhole_x000d_
(Keyhole / Straight Buttonhole)</v>
      </c>
      <c r="I4" s="2" t="str">
        <v>단춧구멍</v>
      </c>
      <c r="J4" s="2">
        <v>71</v>
      </c>
      <c r="L4" s="2" t="e">
        <f>IF(#REF!="ALL",IFERROR(INDEX(DATABASE!$C$2:$C$32,ROWS($L$3:L4)),""),IFERROR(INDEX($G$2:$G$32,MATCH(#REF!&amp;"|"&amp;ROWS($L$3:L4),$E$2:$E$32,0)),""))</f>
        <v>#REF!</v>
      </c>
    </row>
    <row r="5" xml:space="preserve">
      <c r="A5" s="2" t="str">
        <v>STITCH</v>
      </c>
      <c r="C5" s="2" t="str">
        <v>나나인찌</v>
      </c>
      <c r="E5" s="2" t="str">
        <v>EDGE|3</v>
      </c>
      <c r="F5" s="2" t="str">
        <v>EDGE</v>
      </c>
      <c r="G5" s="2" t="str">
        <v>하마고리</v>
      </c>
      <c r="H5" s="2" t="str" xml:space="preserve">
        <v xml:space="preserve">Scallop Stitch_x000d_
(Shell / Scallop Edge Finish)</v>
      </c>
      <c r="I5" s="2" t="str" xml:space="preserve">
        <v xml:space="preserve">스캘럽 스티치_x000d_
(조개 모양 가장자리)</v>
      </c>
      <c r="J5" s="2">
        <v>93</v>
      </c>
      <c r="L5" s="2" t="e">
        <f>IF(#REF!="ALL",IFERROR(INDEX(DATABASE!$C$2:$C$32,ROWS($L$3:L5)),""),IFERROR(INDEX($G$2:$G$32,MATCH(#REF!&amp;"|"&amp;ROWS($L$3:L5),$E$2:$E$32,0)),""))</f>
        <v>#REF!</v>
      </c>
    </row>
    <row r="6" xml:space="preserve">
      <c r="A6" s="2" t="str">
        <v>SHAPE</v>
      </c>
      <c r="C6" s="2" t="str">
        <v>하마고리</v>
      </c>
      <c r="E6" s="2" t="str">
        <v>EDGE|4</v>
      </c>
      <c r="F6" s="2" t="str">
        <v>EDGE</v>
      </c>
      <c r="G6" s="2" t="str">
        <v>수소(스쿠이)</v>
      </c>
      <c r="H6" s="2" t="str" xml:space="preserve">
        <v xml:space="preserve">Blind Stitch_x000d_
(Invisible Hem Stitch)</v>
      </c>
      <c r="I6" s="2" t="str" xml:space="preserve">
        <v xml:space="preserve">블라인드 스티치_x000d_
(안 보이는 단 처리)</v>
      </c>
      <c r="J6" s="2">
        <v>115</v>
      </c>
      <c r="L6" s="2" t="e">
        <f>IF(#REF!="ALL",IFERROR(INDEX(DATABASE!$C$2:$C$32,ROWS($L$3:L6)),""),IFERROR(INDEX($G$2:$G$32,MATCH(#REF!&amp;"|"&amp;ROWS($L$3:L6),$E$2:$E$32,0)),""))</f>
        <v>#REF!</v>
      </c>
    </row>
    <row r="7" xml:space="preserve">
      <c r="A7" s="2" t="str">
        <v>CLOSURE</v>
      </c>
      <c r="C7" s="2" t="str">
        <v>수소(스쿠이)</v>
      </c>
      <c r="E7" s="2" t="str">
        <v>PART|1</v>
      </c>
      <c r="F7" s="2" t="str">
        <v>PART</v>
      </c>
      <c r="G7" s="2" t="str">
        <v>에리</v>
      </c>
      <c r="H7" s="2" t="str" xml:space="preserve">
        <v xml:space="preserve">Collar_x000d_
(Neckline Collar / Collar Stand)</v>
      </c>
      <c r="I7" s="2" t="str">
        <v>칼라 / 깃</v>
      </c>
      <c r="J7" s="2">
        <v>181</v>
      </c>
      <c r="L7" s="2" t="e">
        <f>IF(#REF!="ALL",IFERROR(INDEX(DATABASE!$C$2:$C$32,ROWS($L$3:L7)),""),IFERROR(INDEX($G$2:$G$32,MATCH(#REF!&amp;"|"&amp;ROWS($L$3:L7),$E$2:$E$32,0)),""))</f>
        <v>#REF!</v>
      </c>
    </row>
    <row r="8" xml:space="preserve">
      <c r="A8" s="2" t="str">
        <v>TRIM</v>
      </c>
      <c r="C8" s="2" t="str">
        <v>에리</v>
      </c>
      <c r="E8" s="2" t="str">
        <v>JOIN|1</v>
      </c>
      <c r="F8" s="2" t="str">
        <v>JOIN</v>
      </c>
      <c r="G8" s="2" t="str">
        <v>와끼</v>
      </c>
      <c r="H8" s="2" t="str" xml:space="preserve">
        <v xml:space="preserve">Side Seam_x000d_
(Lateral Body Seam)</v>
      </c>
      <c r="I8" s="2" t="str">
        <v>옆선 봉제 / 사이드 솔기</v>
      </c>
      <c r="J8" s="2">
        <v>203</v>
      </c>
      <c r="L8" s="2" t="e">
        <f>IF(#REF!="ALL",IFERROR(INDEX(DATABASE!$C$2:$C$32,ROWS($L$3:L8)),""),IFERROR(INDEX($G$2:$G$32,MATCH(#REF!&amp;"|"&amp;ROWS($L$3:L8),$E$2:$E$32,0)),""))</f>
        <v>#REF!</v>
      </c>
    </row>
    <row r="9" xml:space="preserve">
      <c r="A9" s="2" t="str">
        <v>PART</v>
      </c>
      <c r="C9" s="2" t="str">
        <v>와끼</v>
      </c>
      <c r="E9" s="2" t="str">
        <v>PART|2</v>
      </c>
      <c r="F9" s="2" t="str">
        <v>PART</v>
      </c>
      <c r="G9" s="2" t="str">
        <v>랍빠</v>
      </c>
      <c r="H9" s="2" t="str" xml:space="preserve">
        <v xml:space="preserve">Binder_x000d_
(Bias Binder / Tape Binder / Binder Attachment)</v>
      </c>
      <c r="I9" s="2" t="str">
        <v>바인더 / 바이어스 테이프 처리</v>
      </c>
      <c r="J9" s="2">
        <v>247</v>
      </c>
      <c r="L9" s="2" t="e">
        <f>IF(#REF!="ALL",IFERROR(INDEX(DATABASE!$C$2:$C$32,ROWS($L$3:L9)),""),IFERROR(INDEX($G$2:$G$32,MATCH(#REF!&amp;"|"&amp;ROWS($L$3:L9),$E$2:$E$32,0)),""))</f>
        <v>#REF!</v>
      </c>
    </row>
    <row r="10" xml:space="preserve">
      <c r="A10" s="2" t="str">
        <v>GUIDE</v>
      </c>
      <c r="C10" s="2" t="str">
        <v>랍빠</v>
      </c>
      <c r="E10" s="2" t="str">
        <v>TRIM|1</v>
      </c>
      <c r="F10" s="2" t="str">
        <v>TRIM</v>
      </c>
      <c r="G10" s="2" t="str">
        <v>삥줄</v>
      </c>
      <c r="H10" s="2" t="str" xml:space="preserve">
        <v xml:space="preserve">Piping_x000d_
(Welt Piping / Cord Piping)</v>
      </c>
      <c r="I10" s="2" t="str">
        <v>파이핑 / 코드 장식줄</v>
      </c>
      <c r="J10" s="2">
        <v>269</v>
      </c>
      <c r="L10" s="2" t="e">
        <f>IF(#REF!="ALL",IFERROR(INDEX(DATABASE!$C$2:$C$32,ROWS($L$3:L10)),""),IFERROR(INDEX($G$2:$G$32,MATCH(#REF!&amp;"|"&amp;ROWS($L$3:L10),$E$2:$E$32,0)),""))</f>
        <v>#REF!</v>
      </c>
    </row>
    <row r="11">
      <c r="C11" s="2" t="str">
        <v>삥줄</v>
      </c>
      <c r="E11" s="2" t="str">
        <v>CLOSURE|2</v>
      </c>
      <c r="F11" s="2" t="str">
        <v>CLOSURE</v>
      </c>
      <c r="G11" s="2" t="str">
        <v>단추달기 / 단춧구멍 / 바텍</v>
      </c>
      <c r="H11" s="2" t="str">
        <v>Button Sewing / Buttonhole / Bartack</v>
      </c>
      <c r="I11" s="2" t="str">
        <v>단추 부착 / 단춧구멍 가공 / 보강 박음</v>
      </c>
      <c r="J11" s="2">
        <v>291</v>
      </c>
      <c r="L11" s="2" t="e">
        <f>IF(#REF!="ALL",IFERROR(INDEX(DATABASE!$C$2:$C$32,ROWS($L$3:L11)),""),IFERROR(INDEX($G$2:$G$32,MATCH(#REF!&amp;"|"&amp;ROWS($L$3:L11),$E$2:$E$32,0)),""))</f>
        <v>#REF!</v>
      </c>
    </row>
    <row r="12">
      <c r="C12" s="2" t="str">
        <v>단추달기 / 단춧구멍 / 바텍</v>
      </c>
      <c r="E12" s="2" t="str">
        <v>STITCH|1</v>
      </c>
      <c r="F12" s="2" t="str">
        <v>STITCH</v>
      </c>
      <c r="G12" s="2" t="str">
        <v>본봉</v>
      </c>
      <c r="H12" s="2" t="str">
        <v>Lockstitch</v>
      </c>
      <c r="I12" s="2" t="str">
        <v>윗실과 밑실이 맞물리는 기본 봉제</v>
      </c>
      <c r="J12" s="2">
        <v>313</v>
      </c>
      <c r="L12" s="2" t="e">
        <f>IF(#REF!="ALL",IFERROR(INDEX(DATABASE!$C$2:$C$32,ROWS($L$3:L12)),""),IFERROR(INDEX($G$2:$G$32,MATCH(#REF!&amp;"|"&amp;ROWS($L$3:L12),$E$2:$E$32,0)),""))</f>
        <v>#REF!</v>
      </c>
    </row>
    <row r="13">
      <c r="C13" s="2" t="str">
        <v>본봉</v>
      </c>
      <c r="E13" s="2" t="str">
        <v>STITCH|2</v>
      </c>
      <c r="F13" s="2" t="str">
        <v>STITCH</v>
      </c>
      <c r="G13" s="2" t="str">
        <v>외줄 삼봉</v>
      </c>
      <c r="H13" s="2" t="str">
        <v>Single-Needle Chain Stitch</v>
      </c>
      <c r="I13" s="2" t="str">
        <v>바늘 1개로 형성하는 체인 스티치</v>
      </c>
      <c r="J13" s="2">
        <v>335</v>
      </c>
      <c r="L13" s="2" t="e">
        <f>IF(#REF!="ALL",IFERROR(INDEX(DATABASE!$C$2:$C$32,ROWS($L$3:L13)),""),IFERROR(INDEX($G$2:$G$32,MATCH(#REF!&amp;"|"&amp;ROWS($L$3:L13),$E$2:$E$32,0)),""))</f>
        <v>#REF!</v>
      </c>
    </row>
    <row r="14">
      <c r="C14" s="2" t="str">
        <v>외줄 삼봉</v>
      </c>
      <c r="E14" s="2" t="str">
        <v>STITCH|3</v>
      </c>
      <c r="F14" s="2" t="str">
        <v>STITCH</v>
      </c>
      <c r="G14" s="2" t="str">
        <v>두줄 삼봉</v>
      </c>
      <c r="H14" s="2" t="str">
        <v>2-Needle Bottom Cover Stitch</v>
      </c>
      <c r="I14" s="2" t="str">
        <v>바늘 2개로 만드는 밑면 커버 스티치</v>
      </c>
      <c r="J14" s="2">
        <v>357</v>
      </c>
      <c r="L14" s="2" t="e">
        <f>IF(#REF!="ALL",IFERROR(INDEX(DATABASE!$C$2:$C$32,ROWS($L$3:L14)),""),IFERROR(INDEX($G$2:$G$32,MATCH(#REF!&amp;"|"&amp;ROWS($L$3:L14),$E$2:$E$32,0)),""))</f>
        <v>#REF!</v>
      </c>
    </row>
    <row r="15">
      <c r="C15" s="2" t="str">
        <v>두줄 삼봉</v>
      </c>
      <c r="E15" s="2" t="str">
        <v>STITCH|4</v>
      </c>
      <c r="F15" s="2" t="str">
        <v>STITCH</v>
      </c>
      <c r="G15" s="2" t="str">
        <v>세줄삼봉</v>
      </c>
      <c r="H15" s="2" t="str">
        <v>3-Needle Bottom Cover Stitch</v>
      </c>
      <c r="I15" s="2" t="str">
        <v>바늘 3개로 만드는 밑면 커버 스티치</v>
      </c>
      <c r="J15" s="2">
        <v>379</v>
      </c>
      <c r="L15" s="2" t="e">
        <f>IF(#REF!="ALL",IFERROR(INDEX(DATABASE!$C$2:$C$32,ROWS($L$3:L15)),""),IFERROR(INDEX($G$2:$G$32,MATCH(#REF!&amp;"|"&amp;ROWS($L$3:L15),$E$2:$E$32,0)),""))</f>
        <v>#REF!</v>
      </c>
    </row>
    <row r="16" xml:space="preserve">
      <c r="C16" s="2" t="str">
        <v>세줄삼봉</v>
      </c>
      <c r="E16" s="2" t="str">
        <v>STITCH|5</v>
      </c>
      <c r="F16" s="2" t="str">
        <v>STITCH</v>
      </c>
      <c r="G16" s="2" t="str">
        <v>지그재그 스티치 / 1단 지그재그</v>
      </c>
      <c r="H16" s="2" t="str" xml:space="preserve">
        <v xml:space="preserve">Zigzag Stitch_x000d_
(Single-Step Zigzag)</v>
      </c>
      <c r="I16" s="2" t="str">
        <v>좌우로 교차하는 지그재그 봉제</v>
      </c>
      <c r="J16" s="2">
        <v>467</v>
      </c>
      <c r="L16" s="2" t="e">
        <f>IF(#REF!="ALL",IFERROR(INDEX(DATABASE!$C$2:$C$32,ROWS($L$3:L16)),""),IFERROR(INDEX($G$2:$G$32,MATCH(#REF!&amp;"|"&amp;ROWS($L$3:L16),$E$2:$E$32,0)),""))</f>
        <v>#REF!</v>
      </c>
    </row>
    <row r="17">
      <c r="C17" s="2" t="str">
        <v>지그재그 스티치 / 1단 지그재그</v>
      </c>
      <c r="E17" s="2" t="str">
        <v>EDGE|5</v>
      </c>
      <c r="F17" s="2" t="str">
        <v>EDGE</v>
      </c>
      <c r="G17" s="2" t="str">
        <v>휩 블랭크</v>
      </c>
      <c r="H17" s="2" t="str">
        <v>Whip / Blanket Stitch</v>
      </c>
      <c r="I17" s="2" t="str">
        <v>가장자리를 감싸는 블랭킷 마감 스티치</v>
      </c>
      <c r="J17" s="2">
        <v>511</v>
      </c>
      <c r="L17" s="2" t="e">
        <f>IF(#REF!="ALL",IFERROR(INDEX(DATABASE!$C$2:$C$32,ROWS($L$3:L17)),""),IFERROR(INDEX($G$2:$G$32,MATCH(#REF!&amp;"|"&amp;ROWS($L$3:L17),$E$2:$E$32,0)),""))</f>
        <v>#REF!</v>
      </c>
    </row>
    <row r="18">
      <c r="C18" s="2" t="str">
        <v>휩 블랭크</v>
      </c>
      <c r="E18" s="2" t="str">
        <v>EDGE|6</v>
      </c>
      <c r="F18" s="2" t="str">
        <v>EDGE</v>
      </c>
      <c r="G18" s="2" t="str">
        <v>피콧스티치</v>
      </c>
      <c r="H18" s="2" t="str">
        <v>Picot Stitch</v>
      </c>
      <c r="I18" s="2" t="str">
        <v>작은 고리 또는 점 장식의 가장자리 마감</v>
      </c>
      <c r="J18" s="2">
        <v>599</v>
      </c>
      <c r="L18" s="2" t="e">
        <f>IF(#REF!="ALL",IFERROR(INDEX(DATABASE!$C$2:$C$32,ROWS($L$3:L18)),""),IFERROR(INDEX($G$2:$G$32,MATCH(#REF!&amp;"|"&amp;ROWS($L$3:L18),$E$2:$E$32,0)),""))</f>
        <v>#REF!</v>
      </c>
    </row>
    <row r="19">
      <c r="C19" s="2" t="str">
        <v>피콧스티치</v>
      </c>
      <c r="E19" s="2" t="str">
        <v>PART|3</v>
      </c>
      <c r="F19" s="2" t="str">
        <v>PART</v>
      </c>
      <c r="G19" s="2" t="str">
        <v>스파게티 스트랩</v>
      </c>
      <c r="H19" s="2" t="str">
        <v>Spaghetti Strap / Cord Tube</v>
      </c>
      <c r="I19" s="2" t="str">
        <v>얇은 튜브형 끈 또는 어깨끈</v>
      </c>
      <c r="J19" s="2">
        <v>621</v>
      </c>
      <c r="L19" s="2" t="e">
        <f>IF(#REF!="ALL",IFERROR(INDEX(DATABASE!$C$2:$C$32,ROWS($L$3:L19)),""),IFERROR(INDEX($G$2:$G$32,MATCH(#REF!&amp;"|"&amp;ROWS($L$3:L19),$E$2:$E$32,0)),""))</f>
        <v>#REF!</v>
      </c>
    </row>
    <row r="20" xml:space="preserve">
      <c r="C20" s="2" t="str">
        <v>스파게티 스트랩</v>
      </c>
      <c r="E20" s="2" t="str">
        <v>JOIN|2</v>
      </c>
      <c r="F20" s="2" t="str">
        <v>JOIN</v>
      </c>
      <c r="G20" s="2" t="str">
        <v>합봉</v>
      </c>
      <c r="H20" s="2" t="str" xml:space="preserve">
        <v xml:space="preserve">Joining Seam_x000d_
(Basic Seam Joining)</v>
      </c>
      <c r="I20" s="2" t="str" xml:space="preserve">
        <v xml:space="preserve">합봉 / 솔기 연결_x000d_
(원단을 서로 이어 봉제)</v>
      </c>
      <c r="J20" s="2">
        <v>643</v>
      </c>
      <c r="L20" s="2" t="e">
        <f>IF(#REF!="ALL",IFERROR(INDEX(DATABASE!$C$2:$C$32,ROWS($L$3:L20)),""),IFERROR(INDEX($G$2:$G$32,MATCH(#REF!&amp;"|"&amp;ROWS($L$3:L20),$E$2:$E$32,0)),""))</f>
        <v>#REF!</v>
      </c>
    </row>
    <row r="21" xml:space="preserve">
      <c r="C21" s="2" t="str">
        <v>합봉</v>
      </c>
      <c r="E21" s="2" t="str">
        <v>STITCH|6</v>
      </c>
      <c r="F21" s="2" t="str">
        <v>STITCH</v>
      </c>
      <c r="G21" s="2" t="str">
        <v>탑스티치</v>
      </c>
      <c r="H21" s="2" t="str" xml:space="preserve">
        <v xml:space="preserve">Topstitch_x000d_
(Visible Surface Stitch)</v>
      </c>
      <c r="I21" s="2" t="str" xml:space="preserve">
        <v xml:space="preserve">탑스티치 / 겉면 박음질_x000d_
(겉에서 보이는 장식·고정 스티치)</v>
      </c>
      <c r="J21" s="2">
        <v>687</v>
      </c>
      <c r="L21" s="2" t="e">
        <f>IF(#REF!="ALL",IFERROR(INDEX(DATABASE!$C$2:$C$32,ROWS($L$3:L21)),""),IFERROR(INDEX($G$2:$G$32,MATCH(#REF!&amp;"|"&amp;ROWS($L$3:L21),$E$2:$E$32,0)),""))</f>
        <v>#REF!</v>
      </c>
    </row>
    <row r="22" xml:space="preserve">
      <c r="C22" s="2" t="str">
        <v>탑스티치</v>
      </c>
      <c r="E22" s="2" t="str">
        <v>STITCH|7</v>
      </c>
      <c r="F22" s="2" t="str">
        <v>STITCH</v>
      </c>
      <c r="G22" s="2" t="str">
        <v>엣지스티치</v>
      </c>
      <c r="H22" s="2" t="str" xml:space="preserve">
        <v xml:space="preserve">Edge Stitch_x000d_
(Stitch Close to Edge)</v>
      </c>
      <c r="I22" s="2" t="str" xml:space="preserve">
        <v xml:space="preserve">엣지 스티치 / 가장자리 박음_x000d_
(단 가까이에 놓는 스티치)</v>
      </c>
      <c r="J22" s="2">
        <v>709</v>
      </c>
      <c r="L22" s="2" t="e">
        <f>IF(#REF!="ALL",IFERROR(INDEX(DATABASE!$C$2:$C$32,ROWS($L$3:L22)),""),IFERROR(INDEX($G$2:$G$32,MATCH(#REF!&amp;"|"&amp;ROWS($L$3:L22),$E$2:$E$32,0)),""))</f>
        <v>#REF!</v>
      </c>
    </row>
    <row r="23" xml:space="preserve">
      <c r="C23" s="2" t="str">
        <v>엣지스티치</v>
      </c>
      <c r="E23" s="2" t="str">
        <v>STITCH|8</v>
      </c>
      <c r="F23" s="2" t="str">
        <v>STITCH</v>
      </c>
      <c r="G23" s="2" t="str">
        <v>2줄다꼬 / 3줄다꼬</v>
      </c>
      <c r="H23" s="2" t="str">
        <v>2-Row / 3-Row Chain Stitch</v>
      </c>
      <c r="I23" s="2" t="str" xml:space="preserve">
        <v xml:space="preserve">2줄·3줄 다꼬 / 체인 스티치_x000d_
(2줄 또는 3줄 체인 봉제)</v>
      </c>
      <c r="J23" s="2">
        <v>731</v>
      </c>
      <c r="L23" s="2" t="e">
        <f>IF(#REF!="ALL",IFERROR(INDEX(DATABASE!$C$2:$C$32,ROWS($L$3:L23)),""),IFERROR(INDEX($G$2:$G$32,MATCH(#REF!&amp;"|"&amp;ROWS($L$3:L23),$E$2:$E$32,0)),""))</f>
        <v>#REF!</v>
      </c>
    </row>
    <row r="24" xml:space="preserve">
      <c r="C24" s="2" t="str">
        <v>2줄다꼬 / 3줄다꼬</v>
      </c>
      <c r="E24" s="2" t="str">
        <v>STITCH|9</v>
      </c>
      <c r="F24" s="2" t="str">
        <v>STITCH</v>
      </c>
      <c r="G24" s="2" t="str">
        <v>갈라삼봉</v>
      </c>
      <c r="H24" s="2" t="str" xml:space="preserve">
        <v xml:space="preserve">Track Stitch_x000d_
(Split Cover Stitch)</v>
      </c>
      <c r="I24" s="2" t="str" xml:space="preserve">
        <v xml:space="preserve">갈라삼봉 / 트랙 스티치_x000d_
(절개 양쪽에 놓는 커버 스티치)</v>
      </c>
      <c r="J24" s="2">
        <v>753</v>
      </c>
      <c r="L24" s="2" t="e">
        <f>IF(#REF!="ALL",IFERROR(INDEX(DATABASE!$C$2:$C$32,ROWS($L$3:L24)),""),IFERROR(INDEX($G$2:$G$32,MATCH(#REF!&amp;"|"&amp;ROWS($L$3:L24),$E$2:$E$32,0)),""))</f>
        <v>#REF!</v>
      </c>
    </row>
    <row r="25" xml:space="preserve">
      <c r="C25" s="2" t="str">
        <v>갈라삼봉</v>
      </c>
      <c r="E25" s="2" t="str">
        <v>EDGE|7</v>
      </c>
      <c r="F25" s="2" t="str">
        <v>EDGE</v>
      </c>
      <c r="G25" s="2" t="str">
        <v>메로우 / 레터스엣지</v>
      </c>
      <c r="H25" s="2" t="str">
        <v>Merrow / Lettuce Edge</v>
      </c>
      <c r="I25" s="2" t="str" xml:space="preserve">
        <v xml:space="preserve">메로우 / 레터스 에지_x000d_
(물결 모양 가장자리 마감)</v>
      </c>
      <c r="J25" s="2">
        <v>775</v>
      </c>
      <c r="L25" s="2" t="e">
        <f>IF(#REF!="ALL",IFERROR(INDEX(DATABASE!$C$2:$C$32,ROWS($L$3:L25)),""),IFERROR(INDEX($G$2:$G$32,MATCH(#REF!&amp;"|"&amp;ROWS($L$3:L25),$E$2:$E$32,0)),""))</f>
        <v>#REF!</v>
      </c>
    </row>
    <row r="26" xml:space="preserve">
      <c r="C26" s="2" t="str">
        <v>메로우 / 레터스엣지</v>
      </c>
      <c r="E26" s="2" t="str">
        <v>EDGE|8</v>
      </c>
      <c r="F26" s="2" t="str">
        <v>EDGE</v>
      </c>
      <c r="G26" s="2" t="str">
        <v>로우엣지</v>
      </c>
      <c r="H26" s="2" t="str" xml:space="preserve">
        <v xml:space="preserve">Raw Edge_x000d_
(Unfinished Cut Edge)</v>
      </c>
      <c r="I26" s="2" t="str" xml:space="preserve">
        <v xml:space="preserve">로우 에지 / 미완성 단_x000d_
(자른 가장자리를 그대로 둔 마감)</v>
      </c>
      <c r="J26" s="2">
        <v>797</v>
      </c>
      <c r="L26" s="2" t="e">
        <f>IF(#REF!="ALL",IFERROR(INDEX(DATABASE!$C$2:$C$32,ROWS($L$3:L26)),""),IFERROR(INDEX($G$2:$G$32,MATCH(#REF!&amp;"|"&amp;ROWS($L$3:L26),$E$2:$E$32,0)),""))</f>
        <v>#REF!</v>
      </c>
    </row>
    <row r="27" xml:space="preserve">
      <c r="C27" s="2" t="str">
        <v>로우엣지</v>
      </c>
      <c r="E27" s="2" t="str">
        <v>SHAPE|1</v>
      </c>
      <c r="F27" s="2" t="str">
        <v>SHAPE</v>
      </c>
      <c r="G27" s="2" t="str">
        <v>셔링</v>
      </c>
      <c r="H27" s="2" t="str" xml:space="preserve">
        <v xml:space="preserve">Shirring_x000d_
(Gathered Stitch Rows)</v>
      </c>
      <c r="I27" s="2" t="str" xml:space="preserve">
        <v xml:space="preserve">셔링_x000d_
(여러 줄 스티치로 잡는 잔주름)</v>
      </c>
      <c r="J27" s="2">
        <v>819</v>
      </c>
      <c r="L27" s="2" t="e">
        <f>IF(#REF!="ALL",IFERROR(INDEX(DATABASE!$C$2:$C$32,ROWS($L$3:L27)),""),IFERROR(INDEX($G$2:$G$32,MATCH(#REF!&amp;"|"&amp;ROWS($L$3:L27),$E$2:$E$32,0)),""))</f>
        <v>#REF!</v>
      </c>
    </row>
    <row r="28" xml:space="preserve">
      <c r="C28" s="2" t="str">
        <v>셔링</v>
      </c>
      <c r="E28" s="2" t="str">
        <v>TRIM|2</v>
      </c>
      <c r="F28" s="2" t="str">
        <v>TRIM</v>
      </c>
      <c r="G28" s="2" t="str">
        <v>통통 D.C</v>
      </c>
      <c r="H28" s="2" t="str" xml:space="preserve">
        <v xml:space="preserve">Bulky Drawcord_x000d_
(Thick / Padded Drawcord)</v>
      </c>
      <c r="I28" s="2" t="str" xml:space="preserve">
        <v xml:space="preserve">통통한 드로코드_x000d_
(후드·허리밴드·넥라인 조임용 끈)</v>
      </c>
      <c r="J28" s="2">
        <v>841</v>
      </c>
      <c r="L28" s="2" t="e">
        <f>IF(#REF!="ALL",IFERROR(INDEX(DATABASE!$C$2:$C$32,ROWS($L$3:L28)),""),IFERROR(INDEX($G$2:$G$32,MATCH(#REF!&amp;"|"&amp;ROWS($L$3:L28),$E$2:$E$32,0)),""))</f>
        <v>#REF!</v>
      </c>
    </row>
    <row r="29" xml:space="preserve">
      <c r="C29" s="2" t="str">
        <v>통통 D.C</v>
      </c>
      <c r="E29" s="2" t="str">
        <v>SHAPE|2</v>
      </c>
      <c r="F29" s="2" t="str">
        <v>SHAPE</v>
      </c>
      <c r="G29" s="2" t="str">
        <v>씬칭</v>
      </c>
      <c r="H29" s="2" t="str" xml:space="preserve">
        <v xml:space="preserve">Cinching_x000d_
(Drawn-In Gathered Detail)</v>
      </c>
      <c r="I29" s="2" t="str" xml:space="preserve">
        <v xml:space="preserve">씬칭 / 조임 디테일_x000d_
(끈·밴드로 안쪽으로 조여 잡는 처리)</v>
      </c>
      <c r="J29" s="2">
        <v>863</v>
      </c>
      <c r="L29" s="2" t="e">
        <f>IF(#REF!="ALL",IFERROR(INDEX(DATABASE!$C$2:$C$32,ROWS($L$3:L29)),""),IFERROR(INDEX($G$2:$G$32,MATCH(#REF!&amp;"|"&amp;ROWS($L$3:L29),$E$2:$E$32,0)),""))</f>
        <v>#REF!</v>
      </c>
    </row>
    <row r="30" xml:space="preserve">
      <c r="C30" s="2" t="str">
        <v>씬칭</v>
      </c>
      <c r="E30" s="2" t="str">
        <v>TRIM|3</v>
      </c>
      <c r="F30" s="2" t="str">
        <v>TRIM</v>
      </c>
      <c r="G30" s="2" t="str">
        <v>모빌롱</v>
      </c>
      <c r="H30" s="2" t="str" xml:space="preserve">
        <v xml:space="preserve">Mobilon Tape_x000d_
(Clear Elastic Stabilizer)</v>
      </c>
      <c r="I30" s="2" t="str" xml:space="preserve">
        <v xml:space="preserve">모빌론 테이프 / 투명 탄성 테이프_x000d_
(늘어짐 방지용 보강 부자재)</v>
      </c>
      <c r="J30" s="2">
        <v>885</v>
      </c>
      <c r="L30" s="2" t="e">
        <f>IF(#REF!="ALL",IFERROR(INDEX(DATABASE!$C$2:$C$32,ROWS($L$3:L30)),""),IFERROR(INDEX($G$2:$G$32,MATCH(#REF!&amp;"|"&amp;ROWS($L$3:L30),$E$2:$E$32,0)),""))</f>
        <v>#REF!</v>
      </c>
    </row>
    <row r="31" xml:space="preserve">
      <c r="C31" s="2" t="str">
        <v>모빌롱</v>
      </c>
      <c r="E31" s="2" t="str">
        <v>TRIM|4</v>
      </c>
      <c r="F31" s="2" t="str">
        <v>TRIM</v>
      </c>
      <c r="G31" s="2" t="str">
        <v>링슬</v>
      </c>
      <c r="H31" s="2" t="str" xml:space="preserve">
        <v xml:space="preserve">Strap Ring &amp; Slider_x000d_
(Lingerie Strap Adjuster Hardware)</v>
      </c>
      <c r="I31" s="2" t="str" xml:space="preserve">
        <v xml:space="preserve">스트랩 링 &amp; 슬라이더_x000d_
(얇은 스트랩의 연결 및 길이 조절용 부자재)</v>
      </c>
      <c r="J31" s="2">
        <v>907</v>
      </c>
      <c r="L31" s="2" t="e">
        <f>IF(#REF!="ALL",IFERROR(INDEX(DATABASE!$C$2:$C$32,ROWS($L$3:L31)),""),IFERROR(INDEX($G$2:$G$32,MATCH(#REF!&amp;"|"&amp;ROWS($L$3:L31),$E$2:$E$32,0)),""))</f>
        <v>#REF!</v>
      </c>
    </row>
    <row r="32" xml:space="preserve">
      <c r="C32" s="2" t="str">
        <v>링슬</v>
      </c>
      <c r="E32" s="2" t="str">
        <v>EDGE|9</v>
      </c>
      <c r="F32" s="2" t="str">
        <v>EDGE</v>
      </c>
      <c r="G32" s="2" t="str">
        <v>마이터</v>
      </c>
      <c r="H32" s="2" t="str" xml:space="preserve">
        <v xml:space="preserve">Mitered Corner_x000d_
(Mitered Binding Finish)</v>
      </c>
      <c r="I32" s="2" t="str" xml:space="preserve">
        <v xml:space="preserve">마이터 / 사선 접어 마감_x000d_
(바인딩·테이프 끝을 사선으로 접어 깔끔하게 처리하는 디테일)</v>
      </c>
      <c r="J32" s="2">
        <v>929</v>
      </c>
      <c r="L32" s="2" t="e">
        <f>IF(#REF!="ALL",IFERROR(INDEX(DATABASE!$C$2:$C$32,ROWS($L$3:L32)),""),IFERROR(INDEX($G$2:$G$32,MATCH(#REF!&amp;"|"&amp;ROWS($L$3:L32),$E$2:$E$32,0)),""))</f>
        <v>#REF!</v>
      </c>
    </row>
    <row r="33">
      <c r="C33" s="2" t="str">
        <v>마이터</v>
      </c>
      <c r="L33" s="2" t="e">
        <f>IF(#REF!="ALL",IFERROR(INDEX(DATABASE!$C$2:$C$32,ROWS($L$3:L33)),""),IFERROR(INDEX($G$2:$G$32,MATCH(#REF!&amp;"|"&amp;ROWS($L$3:L33),$E$2:$E$32,0)),""))</f>
        <v>#REF!</v>
      </c>
    </row>
    <row r="34">
      <c r="L34" s="2" t="e">
        <f>IF(#REF!="ALL",IFERROR(INDEX(DATABASE!$C$2:$C$32,ROWS($L$3:L34)),""),IFERROR(INDEX($G$2:$G$32,MATCH(#REF!&amp;"|"&amp;ROWS($L$3:L34),$E$2:$E$32,0)),""))</f>
        <v>#REF!</v>
      </c>
    </row>
    <row r="35">
      <c r="L35" s="2" t="e">
        <f>IF(#REF!="ALL",IFERROR(INDEX(DATABASE!$C$2:$C$32,ROWS($L$3:L35)),""),IFERROR(INDEX($G$2:$G$32,MATCH(#REF!&amp;"|"&amp;ROWS($L$3:L35),$E$2:$E$32,0)),""))</f>
        <v>#REF!</v>
      </c>
    </row>
    <row r="36">
      <c r="L36" s="2" t="e">
        <f>IF(#REF!="ALL",IFERROR(INDEX(DATABASE!$C$2:$C$32,ROWS($L$3:L36)),""),IFERROR(INDEX($G$2:$G$32,MATCH(#REF!&amp;"|"&amp;ROWS($L$3:L36),$E$2:$E$32,0)),""))</f>
        <v>#REF!</v>
      </c>
    </row>
    <row r="37">
      <c r="L37" s="2" t="e">
        <f>IF(#REF!="ALL",IFERROR(INDEX(DATABASE!$C$2:$C$32,ROWS($L$3:L37)),""),IFERROR(INDEX($G$2:$G$32,MATCH(#REF!&amp;"|"&amp;ROWS($L$3:L37),$E$2:$E$32,0)),""))</f>
        <v>#REF!</v>
      </c>
    </row>
    <row r="38">
      <c r="L38" s="2" t="e">
        <f>IF(#REF!="ALL",IFERROR(INDEX(DATABASE!$C$2:$C$32,ROWS($L$3:L38)),""),IFERROR(INDEX($G$2:$G$32,MATCH(#REF!&amp;"|"&amp;ROWS($L$3:L38),$E$2:$E$32,0)),""))</f>
        <v>#REF!</v>
      </c>
    </row>
    <row r="39">
      <c r="L39" s="2" t="e">
        <f>IF(#REF!="ALL",IFERROR(INDEX(DATABASE!$C$2:$C$32,ROWS($L$3:L39)),""),IFERROR(INDEX($G$2:$G$32,MATCH(#REF!&amp;"|"&amp;ROWS($L$3:L39),$E$2:$E$32,0)),""))</f>
        <v>#REF!</v>
      </c>
    </row>
    <row r="40">
      <c r="L40" s="2" t="e">
        <f>IF(#REF!="ALL",IFERROR(INDEX(DATABASE!$C$2:$C$32,ROWS($L$3:L40)),""),IFERROR(INDEX($G$2:$G$32,MATCH(#REF!&amp;"|"&amp;ROWS($L$3:L40),$E$2:$E$32,0)),""))</f>
        <v>#REF!</v>
      </c>
    </row>
    <row r="41">
      <c r="L41" s="2" t="e">
        <f>IF(#REF!="ALL",IFERROR(INDEX(DATABASE!$C$2:$C$32,ROWS($L$3:L41)),""),IFERROR(INDEX($G$2:$G$32,MATCH(#REF!&amp;"|"&amp;ROWS($L$3:L41),$E$2:$E$32,0)),""))</f>
        <v>#REF!</v>
      </c>
    </row>
    <row r="42">
      <c r="L42" s="2" t="e">
        <f>IF(#REF!="ALL",IFERROR(INDEX(DATABASE!$C$2:$C$32,ROWS($L$3:L42)),""),IFERROR(INDEX($G$2:$G$32,MATCH(#REF!&amp;"|"&amp;ROWS($L$3:L42),$E$2:$E$32,0)),""))</f>
        <v>#REF!</v>
      </c>
    </row>
    <row r="43">
      <c r="L43" s="2" t="e">
        <f>IF(#REF!="ALL",IFERROR(INDEX(DATABASE!$C$2:$C$32,ROWS($L$3:L43)),""),IFERROR(INDEX($G$2:$G$32,MATCH(#REF!&amp;"|"&amp;ROWS($L$3:L43),$E$2:$E$32,0)),""))</f>
        <v>#REF!</v>
      </c>
    </row>
    <row r="44">
      <c r="L44" s="2" t="e">
        <f>IF(#REF!="ALL",IFERROR(INDEX(DATABASE!$C$2:$C$32,ROWS($L$3:L44)),""),IFERROR(INDEX($G$2:$G$32,MATCH(#REF!&amp;"|"&amp;ROWS($L$3:L44),$E$2:$E$32,0)),""))</f>
        <v>#REF!</v>
      </c>
    </row>
  </sheetData>
  <pageMargins left="0.7" right="0.7" top="0.75" bottom="0.75" header="0.3" footer="0.3"/>
  <ignoredErrors>
    <ignoredError numberStoredAsText="1" sqref="A1:L7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 LIST</vt:lpstr>
      <vt:lpstr>DATABASE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2026-06-08T00:30:49Z</dcterms:created>
  <dcterms:modified xsi:type="dcterms:W3CDTF">2026-07-03T04:53:43Z</dcterms:modified>
  <cp:lastModifiedBy>Yoon, Jeong-ho</cp:lastModifiedBy>
  <dc:creator>jhyoon</dc:creator>
</cp:coreProperties>
</file>